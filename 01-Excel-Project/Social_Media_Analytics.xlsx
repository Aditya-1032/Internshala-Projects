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pivotTables/pivotTable7.xml" ContentType="application/vnd.openxmlformats-officedocument.spreadsheetml.pivotTable+xml"/>
  <Override PartName="/xl/drawings/drawing3.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itya\Downloads\"/>
    </mc:Choice>
  </mc:AlternateContent>
  <xr:revisionPtr revIDLastSave="0" documentId="13_ncr:1_{E8ABCCC7-13A7-4B33-BC2D-309C037911BD}" xr6:coauthVersionLast="47" xr6:coauthVersionMax="47" xr10:uidLastSave="{00000000-0000-0000-0000-000000000000}"/>
  <bookViews>
    <workbookView xWindow="-108" yWindow="-108" windowWidth="23256" windowHeight="12456" xr2:uid="{00000000-000D-0000-FFFF-FFFF00000000}"/>
  </bookViews>
  <sheets>
    <sheet name="Posts" sheetId="1" r:id="rId1"/>
    <sheet name="Table 2" sheetId="11" r:id="rId2"/>
    <sheet name="Posts_Table" sheetId="8" r:id="rId3"/>
    <sheet name="Engagement Summary" sheetId="2" r:id="rId4"/>
    <sheet name="Campaign Metadata" sheetId="3" r:id="rId5"/>
    <sheet name="Table1" sheetId="15" r:id="rId6"/>
    <sheet name="Task 1" sheetId="4" r:id="rId7"/>
    <sheet name="Task 2" sheetId="5" r:id="rId8"/>
    <sheet name="Task 3" sheetId="9" r:id="rId9"/>
    <sheet name="Task 4" sheetId="12" r:id="rId10"/>
    <sheet name="Task 5" sheetId="13" r:id="rId11"/>
    <sheet name="Task 6" sheetId="16" r:id="rId12"/>
  </sheets>
  <externalReferences>
    <externalReference r:id="rId13"/>
  </externalReferences>
  <definedNames>
    <definedName name="_xlnm._FilterDatabase" localSheetId="3" hidden="1">'Engagement Summary'!$A$1:$H$201</definedName>
    <definedName name="_xlnm._FilterDatabase" localSheetId="0" hidden="1">Posts!$A$1:$R$301</definedName>
    <definedName name="ExternalData_1" localSheetId="2" hidden="1">Posts_Table!$A$1:$Q$340</definedName>
  </definedNames>
  <calcPr calcId="191029"/>
  <pivotCaches>
    <pivotCache cacheId="0" r:id="rId14"/>
    <pivotCache cacheId="1" r:id="rId15"/>
    <pivotCache cacheId="2" r:id="rId16"/>
    <pivotCache cacheId="3" r:id="rId17"/>
  </pivotCaches>
  <extLst>
    <ext uri="GoogleSheetsCustomDataVersion2">
      <go:sheetsCustomData xmlns:go="http://customooxmlschemas.google.com/" r:id="rId19" roundtripDataChecksum="bhSlxfWvTgv8XKEk2OsP6o8jWik31LnAbkDVGdJdyIg="/>
    </ext>
  </extLst>
</workbook>
</file>

<file path=xl/calcChain.xml><?xml version="1.0" encoding="utf-8"?>
<calcChain xmlns="http://schemas.openxmlformats.org/spreadsheetml/2006/main">
  <c r="H73" i="16" l="1"/>
  <c r="C141" i="16"/>
  <c r="P3" i="3"/>
  <c r="P4" i="3"/>
  <c r="P5" i="3"/>
  <c r="P2" i="3"/>
  <c r="O3" i="3"/>
  <c r="O4" i="3"/>
  <c r="O5" i="3"/>
  <c r="O2" i="3"/>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K106" i="16"/>
  <c r="K107" i="16"/>
  <c r="K108" i="16"/>
  <c r="K109" i="16"/>
  <c r="K110" i="16"/>
  <c r="K111" i="16"/>
  <c r="K112" i="16"/>
  <c r="K113" i="16"/>
  <c r="K114" i="16"/>
  <c r="K115" i="16"/>
  <c r="K116" i="16"/>
  <c r="K117" i="16"/>
  <c r="K118" i="16"/>
  <c r="K119" i="16"/>
  <c r="K73" i="16"/>
  <c r="J74" i="16"/>
  <c r="J75" i="16"/>
  <c r="J76" i="16"/>
  <c r="J77" i="16"/>
  <c r="J78" i="16"/>
  <c r="J79" i="16"/>
  <c r="J80" i="16"/>
  <c r="J81" i="16"/>
  <c r="J82" i="16"/>
  <c r="J83" i="16"/>
  <c r="J84" i="16"/>
  <c r="J85" i="16"/>
  <c r="J86" i="16"/>
  <c r="J87" i="16"/>
  <c r="J88" i="16"/>
  <c r="J89" i="16"/>
  <c r="J90" i="16"/>
  <c r="J91" i="16"/>
  <c r="J92" i="16"/>
  <c r="J93" i="16"/>
  <c r="J94" i="16"/>
  <c r="J95" i="16"/>
  <c r="J96" i="16"/>
  <c r="J97" i="16"/>
  <c r="J98" i="16"/>
  <c r="J99" i="16"/>
  <c r="J100" i="16"/>
  <c r="J101" i="16"/>
  <c r="J102" i="16"/>
  <c r="J103" i="16"/>
  <c r="J104" i="16"/>
  <c r="J105" i="16"/>
  <c r="J106" i="16"/>
  <c r="J107" i="16"/>
  <c r="J108" i="16"/>
  <c r="J109" i="16"/>
  <c r="J110" i="16"/>
  <c r="J111" i="16"/>
  <c r="J112" i="16"/>
  <c r="J113" i="16"/>
  <c r="J114" i="16"/>
  <c r="J115" i="16"/>
  <c r="J116" i="16"/>
  <c r="J117" i="16"/>
  <c r="J118" i="16"/>
  <c r="J119" i="16"/>
  <c r="J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F36" i="9" l="1"/>
  <c r="F35" i="9"/>
  <c r="F34" i="9"/>
  <c r="F33" i="9"/>
  <c r="I16" i="9" l="1"/>
  <c r="I17" i="9"/>
  <c r="I18" i="9"/>
  <c r="I15" i="9"/>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 i="2"/>
  <c r="R301" i="11"/>
  <c r="L301" i="11"/>
  <c r="R300" i="11"/>
  <c r="L300" i="11"/>
  <c r="R299" i="11"/>
  <c r="L299" i="11"/>
  <c r="R298" i="11"/>
  <c r="L298" i="11"/>
  <c r="R297" i="11"/>
  <c r="L297" i="11"/>
  <c r="R296" i="11"/>
  <c r="L296" i="11"/>
  <c r="R295" i="11"/>
  <c r="L295" i="11"/>
  <c r="R294" i="11"/>
  <c r="L294" i="11"/>
  <c r="R293" i="11"/>
  <c r="L293" i="11"/>
  <c r="R292" i="11"/>
  <c r="L292" i="11"/>
  <c r="R291" i="11"/>
  <c r="L291" i="11"/>
  <c r="R290" i="11"/>
  <c r="L290" i="11"/>
  <c r="R289" i="11"/>
  <c r="L289" i="11"/>
  <c r="R288" i="11"/>
  <c r="L288" i="11"/>
  <c r="R287" i="11"/>
  <c r="L287" i="11"/>
  <c r="R286" i="11"/>
  <c r="L286" i="11"/>
  <c r="R285" i="11"/>
  <c r="L285" i="11"/>
  <c r="R284" i="11"/>
  <c r="L284" i="11"/>
  <c r="R283" i="11"/>
  <c r="L283" i="11"/>
  <c r="R282" i="11"/>
  <c r="L282" i="11"/>
  <c r="R281" i="11"/>
  <c r="L281" i="11"/>
  <c r="R280" i="11"/>
  <c r="L280" i="11"/>
  <c r="R279" i="11"/>
  <c r="L279" i="11"/>
  <c r="R278" i="11"/>
  <c r="L278" i="11"/>
  <c r="R277" i="11"/>
  <c r="L277" i="11"/>
  <c r="R276" i="11"/>
  <c r="L276" i="11"/>
  <c r="R275" i="11"/>
  <c r="L275" i="11"/>
  <c r="R274" i="11"/>
  <c r="L274" i="11"/>
  <c r="R273" i="11"/>
  <c r="L273" i="11"/>
  <c r="R272" i="11"/>
  <c r="L272" i="11"/>
  <c r="R271" i="11"/>
  <c r="L271" i="11"/>
  <c r="R270" i="11"/>
  <c r="L270" i="11"/>
  <c r="R269" i="11"/>
  <c r="L269" i="11"/>
  <c r="R268" i="11"/>
  <c r="L268" i="11"/>
  <c r="R267" i="11"/>
  <c r="L267" i="11"/>
  <c r="R266" i="11"/>
  <c r="L266" i="11"/>
  <c r="R265" i="11"/>
  <c r="L265" i="11"/>
  <c r="R264" i="11"/>
  <c r="L264" i="11"/>
  <c r="R263" i="11"/>
  <c r="L263" i="11"/>
  <c r="R262" i="11"/>
  <c r="L262" i="11"/>
  <c r="R261" i="11"/>
  <c r="L261" i="11"/>
  <c r="R260" i="11"/>
  <c r="L260" i="11"/>
  <c r="R259" i="11"/>
  <c r="L259" i="11"/>
  <c r="R258" i="11"/>
  <c r="L258" i="11"/>
  <c r="R257" i="11"/>
  <c r="L257" i="11"/>
  <c r="R256" i="11"/>
  <c r="L256" i="11"/>
  <c r="R255" i="11"/>
  <c r="L255" i="11"/>
  <c r="R254" i="11"/>
  <c r="L254" i="11"/>
  <c r="R253" i="11"/>
  <c r="L253" i="11"/>
  <c r="R252" i="11"/>
  <c r="L252" i="11"/>
  <c r="R251" i="11"/>
  <c r="L251" i="11"/>
  <c r="R250" i="11"/>
  <c r="L250" i="11"/>
  <c r="R249" i="11"/>
  <c r="L249" i="11"/>
  <c r="R248" i="11"/>
  <c r="L248" i="11"/>
  <c r="R247" i="11"/>
  <c r="L247" i="11"/>
  <c r="R246" i="11"/>
  <c r="L246" i="11"/>
  <c r="R245" i="11"/>
  <c r="L245" i="11"/>
  <c r="R244" i="11"/>
  <c r="L244" i="11"/>
  <c r="R243" i="11"/>
  <c r="L243" i="11"/>
  <c r="R242" i="11"/>
  <c r="L242" i="11"/>
  <c r="R241" i="11"/>
  <c r="L241" i="11"/>
  <c r="R240" i="11"/>
  <c r="L240" i="11"/>
  <c r="R239" i="11"/>
  <c r="L239" i="11"/>
  <c r="R238" i="11"/>
  <c r="L238" i="11"/>
  <c r="R237" i="11"/>
  <c r="L237" i="11"/>
  <c r="R236" i="11"/>
  <c r="L236" i="11"/>
  <c r="R235" i="11"/>
  <c r="L235" i="11"/>
  <c r="R234" i="11"/>
  <c r="L234" i="11"/>
  <c r="R233" i="11"/>
  <c r="L233" i="11"/>
  <c r="R232" i="11"/>
  <c r="L232" i="11"/>
  <c r="R231" i="11"/>
  <c r="L231" i="11"/>
  <c r="R230" i="11"/>
  <c r="L230" i="11"/>
  <c r="R229" i="11"/>
  <c r="L229" i="11"/>
  <c r="R228" i="11"/>
  <c r="L228" i="11"/>
  <c r="R227" i="11"/>
  <c r="L227" i="11"/>
  <c r="R226" i="11"/>
  <c r="L226" i="11"/>
  <c r="R225" i="11"/>
  <c r="L225" i="11"/>
  <c r="R224" i="11"/>
  <c r="L224" i="11"/>
  <c r="R223" i="11"/>
  <c r="L223" i="11"/>
  <c r="R222" i="11"/>
  <c r="L222" i="11"/>
  <c r="R221" i="11"/>
  <c r="L221" i="11"/>
  <c r="R220" i="11"/>
  <c r="L220" i="11"/>
  <c r="R219" i="11"/>
  <c r="L219" i="11"/>
  <c r="R218" i="11"/>
  <c r="L218" i="11"/>
  <c r="R217" i="11"/>
  <c r="L217" i="11"/>
  <c r="R216" i="11"/>
  <c r="L216" i="11"/>
  <c r="R215" i="11"/>
  <c r="L215" i="11"/>
  <c r="R214" i="11"/>
  <c r="L214" i="11"/>
  <c r="R213" i="11"/>
  <c r="L213" i="11"/>
  <c r="R212" i="11"/>
  <c r="L212" i="11"/>
  <c r="R211" i="11"/>
  <c r="L211" i="11"/>
  <c r="R210" i="11"/>
  <c r="L210" i="11"/>
  <c r="R209" i="11"/>
  <c r="L209" i="11"/>
  <c r="R208" i="11"/>
  <c r="L208" i="11"/>
  <c r="R207" i="11"/>
  <c r="L207" i="11"/>
  <c r="R206" i="11"/>
  <c r="L206" i="11"/>
  <c r="R205" i="11"/>
  <c r="L205" i="11"/>
  <c r="R204" i="11"/>
  <c r="L204" i="11"/>
  <c r="R203" i="11"/>
  <c r="L203" i="11"/>
  <c r="R202" i="11"/>
  <c r="L202" i="11"/>
  <c r="R201" i="11"/>
  <c r="L201" i="11"/>
  <c r="R200" i="11"/>
  <c r="L200" i="11"/>
  <c r="R199" i="11"/>
  <c r="L199" i="11"/>
  <c r="R198" i="11"/>
  <c r="L198" i="11"/>
  <c r="R197" i="11"/>
  <c r="L197" i="11"/>
  <c r="R196" i="11"/>
  <c r="L196" i="11"/>
  <c r="R195" i="11"/>
  <c r="L195" i="11"/>
  <c r="R194" i="11"/>
  <c r="L194" i="11"/>
  <c r="R193" i="11"/>
  <c r="L193" i="11"/>
  <c r="R192" i="11"/>
  <c r="L192" i="11"/>
  <c r="R191" i="11"/>
  <c r="L191" i="11"/>
  <c r="R190" i="11"/>
  <c r="L190" i="11"/>
  <c r="R189" i="11"/>
  <c r="L189" i="11"/>
  <c r="R188" i="11"/>
  <c r="L188" i="11"/>
  <c r="R187" i="11"/>
  <c r="L187" i="11"/>
  <c r="R186" i="11"/>
  <c r="L186" i="11"/>
  <c r="R185" i="11"/>
  <c r="L185" i="11"/>
  <c r="R184" i="11"/>
  <c r="L184" i="11"/>
  <c r="R183" i="11"/>
  <c r="L183" i="11"/>
  <c r="R182" i="11"/>
  <c r="L182" i="11"/>
  <c r="R181" i="11"/>
  <c r="L181" i="11"/>
  <c r="R180" i="11"/>
  <c r="L180" i="11"/>
  <c r="R179" i="11"/>
  <c r="L179" i="11"/>
  <c r="R178" i="11"/>
  <c r="L178" i="11"/>
  <c r="R177" i="11"/>
  <c r="L177" i="11"/>
  <c r="R176" i="11"/>
  <c r="L176" i="11"/>
  <c r="R175" i="11"/>
  <c r="L175" i="11"/>
  <c r="R174" i="11"/>
  <c r="L174" i="11"/>
  <c r="R173" i="11"/>
  <c r="L173" i="11"/>
  <c r="R172" i="11"/>
  <c r="L172" i="11"/>
  <c r="R171" i="11"/>
  <c r="L171" i="11"/>
  <c r="R170" i="11"/>
  <c r="L170" i="11"/>
  <c r="R169" i="11"/>
  <c r="L169" i="11"/>
  <c r="R168" i="11"/>
  <c r="L168" i="11"/>
  <c r="R167" i="11"/>
  <c r="L167" i="11"/>
  <c r="R166" i="11"/>
  <c r="L166" i="11"/>
  <c r="R165" i="11"/>
  <c r="L165" i="11"/>
  <c r="R164" i="11"/>
  <c r="L164" i="11"/>
  <c r="R163" i="11"/>
  <c r="L163" i="11"/>
  <c r="R162" i="11"/>
  <c r="L162" i="11"/>
  <c r="R161" i="11"/>
  <c r="L161" i="11"/>
  <c r="R160" i="11"/>
  <c r="L160" i="11"/>
  <c r="R159" i="11"/>
  <c r="L159" i="11"/>
  <c r="R158" i="11"/>
  <c r="L158" i="11"/>
  <c r="R157" i="11"/>
  <c r="L157" i="11"/>
  <c r="R156" i="11"/>
  <c r="L156" i="11"/>
  <c r="R155" i="11"/>
  <c r="L155" i="11"/>
  <c r="R154" i="11"/>
  <c r="L154" i="11"/>
  <c r="R153" i="11"/>
  <c r="L153" i="11"/>
  <c r="R152" i="11"/>
  <c r="L152" i="11"/>
  <c r="R151" i="11"/>
  <c r="L151" i="11"/>
  <c r="R150" i="11"/>
  <c r="L150" i="11"/>
  <c r="R149" i="11"/>
  <c r="L149" i="11"/>
  <c r="R148" i="11"/>
  <c r="L148" i="11"/>
  <c r="R147" i="11"/>
  <c r="L147" i="11"/>
  <c r="R146" i="11"/>
  <c r="L146" i="11"/>
  <c r="R145" i="11"/>
  <c r="L145" i="11"/>
  <c r="R144" i="11"/>
  <c r="L144" i="11"/>
  <c r="R143" i="11"/>
  <c r="L143" i="11"/>
  <c r="R142" i="11"/>
  <c r="L142" i="11"/>
  <c r="R141" i="11"/>
  <c r="L141" i="11"/>
  <c r="R140" i="11"/>
  <c r="L140" i="11"/>
  <c r="R139" i="11"/>
  <c r="L139" i="11"/>
  <c r="R138" i="11"/>
  <c r="L138" i="11"/>
  <c r="R137" i="11"/>
  <c r="L137" i="11"/>
  <c r="R136" i="11"/>
  <c r="L136" i="11"/>
  <c r="R135" i="11"/>
  <c r="L135" i="11"/>
  <c r="R134" i="11"/>
  <c r="L134" i="11"/>
  <c r="R133" i="11"/>
  <c r="L133" i="11"/>
  <c r="R132" i="11"/>
  <c r="L132" i="11"/>
  <c r="R131" i="11"/>
  <c r="L131" i="11"/>
  <c r="R130" i="11"/>
  <c r="L130" i="11"/>
  <c r="R129" i="11"/>
  <c r="L129" i="11"/>
  <c r="R128" i="11"/>
  <c r="L128" i="11"/>
  <c r="R127" i="11"/>
  <c r="L127" i="11"/>
  <c r="R126" i="11"/>
  <c r="L126" i="11"/>
  <c r="R125" i="11"/>
  <c r="L125" i="11"/>
  <c r="R124" i="11"/>
  <c r="L124" i="11"/>
  <c r="R123" i="11"/>
  <c r="L123" i="11"/>
  <c r="R122" i="11"/>
  <c r="L122" i="11"/>
  <c r="R121" i="11"/>
  <c r="L121" i="11"/>
  <c r="R120" i="11"/>
  <c r="L120" i="11"/>
  <c r="R119" i="11"/>
  <c r="L119" i="11"/>
  <c r="R118" i="11"/>
  <c r="L118" i="11"/>
  <c r="R117" i="11"/>
  <c r="L117" i="11"/>
  <c r="R116" i="11"/>
  <c r="L116" i="11"/>
  <c r="R115" i="11"/>
  <c r="L115" i="11"/>
  <c r="R114" i="11"/>
  <c r="L114" i="11"/>
  <c r="R113" i="11"/>
  <c r="L113" i="11"/>
  <c r="R112" i="11"/>
  <c r="L112" i="11"/>
  <c r="R111" i="11"/>
  <c r="L111" i="11"/>
  <c r="R110" i="11"/>
  <c r="L110" i="11"/>
  <c r="R109" i="11"/>
  <c r="L109" i="11"/>
  <c r="R108" i="11"/>
  <c r="L108" i="11"/>
  <c r="R107" i="11"/>
  <c r="L107" i="11"/>
  <c r="R106" i="11"/>
  <c r="L106" i="11"/>
  <c r="R105" i="11"/>
  <c r="L105" i="11"/>
  <c r="R104" i="11"/>
  <c r="L104" i="11"/>
  <c r="R103" i="11"/>
  <c r="L103" i="11"/>
  <c r="R102" i="11"/>
  <c r="L102" i="11"/>
  <c r="R101" i="11"/>
  <c r="L101" i="11"/>
  <c r="R100" i="11"/>
  <c r="L100" i="11"/>
  <c r="R99" i="11"/>
  <c r="L99" i="11"/>
  <c r="R98" i="11"/>
  <c r="L98" i="11"/>
  <c r="R97" i="11"/>
  <c r="L97" i="11"/>
  <c r="R96" i="11"/>
  <c r="L96" i="11"/>
  <c r="R95" i="11"/>
  <c r="L95" i="11"/>
  <c r="R94" i="11"/>
  <c r="L94" i="11"/>
  <c r="R93" i="11"/>
  <c r="L93" i="11"/>
  <c r="R92" i="11"/>
  <c r="L92" i="11"/>
  <c r="R91" i="11"/>
  <c r="L91" i="11"/>
  <c r="R90" i="11"/>
  <c r="L90" i="11"/>
  <c r="R89" i="11"/>
  <c r="L89" i="11"/>
  <c r="R88" i="11"/>
  <c r="L88" i="11"/>
  <c r="R87" i="11"/>
  <c r="L87" i="11"/>
  <c r="R86" i="11"/>
  <c r="L86" i="11"/>
  <c r="R85" i="11"/>
  <c r="L85" i="11"/>
  <c r="R84" i="11"/>
  <c r="L84" i="11"/>
  <c r="R83" i="11"/>
  <c r="L83" i="11"/>
  <c r="R82" i="11"/>
  <c r="L82" i="11"/>
  <c r="R81" i="11"/>
  <c r="L81" i="11"/>
  <c r="R80" i="11"/>
  <c r="L80" i="11"/>
  <c r="R79" i="11"/>
  <c r="L79" i="11"/>
  <c r="R78" i="11"/>
  <c r="L78" i="11"/>
  <c r="R77" i="11"/>
  <c r="L77" i="11"/>
  <c r="R76" i="11"/>
  <c r="L76" i="11"/>
  <c r="R75" i="11"/>
  <c r="L75" i="11"/>
  <c r="R74" i="11"/>
  <c r="L74" i="11"/>
  <c r="R73" i="11"/>
  <c r="L73" i="11"/>
  <c r="R72" i="11"/>
  <c r="L72" i="11"/>
  <c r="R71" i="11"/>
  <c r="L71" i="11"/>
  <c r="R70" i="11"/>
  <c r="L70" i="11"/>
  <c r="R69" i="11"/>
  <c r="L69" i="11"/>
  <c r="R68" i="11"/>
  <c r="L68" i="11"/>
  <c r="R67" i="11"/>
  <c r="L67" i="11"/>
  <c r="R66" i="11"/>
  <c r="L66" i="11"/>
  <c r="R65" i="11"/>
  <c r="L65" i="11"/>
  <c r="R64" i="11"/>
  <c r="L64" i="11"/>
  <c r="R63" i="11"/>
  <c r="L63" i="11"/>
  <c r="R62" i="11"/>
  <c r="L62" i="11"/>
  <c r="R61" i="11"/>
  <c r="L61" i="11"/>
  <c r="R60" i="11"/>
  <c r="L60" i="11"/>
  <c r="R59" i="11"/>
  <c r="L59" i="11"/>
  <c r="R58" i="11"/>
  <c r="L58" i="11"/>
  <c r="R57" i="11"/>
  <c r="L57" i="11"/>
  <c r="R56" i="11"/>
  <c r="L56" i="11"/>
  <c r="R55" i="11"/>
  <c r="L55" i="11"/>
  <c r="R54" i="11"/>
  <c r="L54" i="11"/>
  <c r="R53" i="11"/>
  <c r="L53" i="11"/>
  <c r="R52" i="11"/>
  <c r="L52" i="11"/>
  <c r="R51" i="11"/>
  <c r="L51" i="11"/>
  <c r="R50" i="11"/>
  <c r="L50" i="11"/>
  <c r="R49" i="11"/>
  <c r="L49" i="11"/>
  <c r="R48" i="11"/>
  <c r="L48" i="11"/>
  <c r="R47" i="11"/>
  <c r="L47" i="11"/>
  <c r="R46" i="11"/>
  <c r="L46" i="11"/>
  <c r="R45" i="11"/>
  <c r="L45" i="11"/>
  <c r="R44" i="11"/>
  <c r="L44" i="11"/>
  <c r="R43" i="11"/>
  <c r="L43" i="11"/>
  <c r="R42" i="11"/>
  <c r="L42" i="11"/>
  <c r="R41" i="11"/>
  <c r="L41" i="11"/>
  <c r="R40" i="11"/>
  <c r="L40" i="11"/>
  <c r="R39" i="11"/>
  <c r="L39" i="11"/>
  <c r="R38" i="11"/>
  <c r="L38" i="11"/>
  <c r="R37" i="11"/>
  <c r="L37" i="11"/>
  <c r="R36" i="11"/>
  <c r="L36" i="11"/>
  <c r="R35" i="11"/>
  <c r="L35" i="11"/>
  <c r="R34" i="11"/>
  <c r="L34" i="11"/>
  <c r="R33" i="11"/>
  <c r="L33" i="11"/>
  <c r="R32" i="11"/>
  <c r="L32" i="11"/>
  <c r="R31" i="11"/>
  <c r="L31" i="11"/>
  <c r="R30" i="11"/>
  <c r="L30" i="11"/>
  <c r="R29" i="11"/>
  <c r="L29" i="11"/>
  <c r="R28" i="11"/>
  <c r="L28" i="11"/>
  <c r="R27" i="11"/>
  <c r="L27" i="11"/>
  <c r="R26" i="11"/>
  <c r="L26" i="11"/>
  <c r="R25" i="11"/>
  <c r="L25" i="11"/>
  <c r="R24" i="11"/>
  <c r="L24" i="11"/>
  <c r="R23" i="11"/>
  <c r="L23" i="11"/>
  <c r="R22" i="11"/>
  <c r="L22" i="11"/>
  <c r="R21" i="11"/>
  <c r="L21" i="11"/>
  <c r="R20" i="11"/>
  <c r="L20" i="11"/>
  <c r="R19" i="11"/>
  <c r="L19" i="11"/>
  <c r="R18" i="11"/>
  <c r="L18" i="11"/>
  <c r="R17" i="11"/>
  <c r="L17" i="11"/>
  <c r="R16" i="11"/>
  <c r="L16" i="11"/>
  <c r="R15" i="11"/>
  <c r="L15" i="11"/>
  <c r="R14" i="11"/>
  <c r="L14" i="11"/>
  <c r="R13" i="11"/>
  <c r="L13" i="11"/>
  <c r="R12" i="11"/>
  <c r="L12" i="11"/>
  <c r="R11" i="11"/>
  <c r="L11" i="11"/>
  <c r="R10" i="11"/>
  <c r="L10" i="11"/>
  <c r="R9" i="11"/>
  <c r="L9" i="11"/>
  <c r="R8" i="11"/>
  <c r="L8" i="11"/>
  <c r="R7" i="11"/>
  <c r="L7" i="11"/>
  <c r="R6" i="11"/>
  <c r="L6" i="11"/>
  <c r="R5" i="11"/>
  <c r="L5" i="11"/>
  <c r="R4" i="11"/>
  <c r="L4" i="11"/>
  <c r="R3" i="11"/>
  <c r="L3" i="11"/>
  <c r="R2" i="11"/>
  <c r="L2" i="11"/>
  <c r="L208" i="8"/>
  <c r="L209" i="8"/>
  <c r="L302" i="8"/>
  <c r="L303" i="8"/>
  <c r="L338" i="8"/>
  <c r="L76" i="8"/>
  <c r="L34" i="8"/>
  <c r="L35" i="8"/>
  <c r="L159" i="8"/>
  <c r="L31" i="8"/>
  <c r="L44" i="8"/>
  <c r="L103" i="8"/>
  <c r="L279" i="8"/>
  <c r="L241" i="8"/>
  <c r="L53" i="8"/>
  <c r="L176" i="8"/>
  <c r="L253" i="8"/>
  <c r="L152" i="8"/>
  <c r="L95" i="8"/>
  <c r="L330" i="8"/>
  <c r="L86" i="8"/>
  <c r="L30" i="8"/>
  <c r="L112" i="8"/>
  <c r="L219" i="8"/>
  <c r="L264" i="8"/>
  <c r="L164" i="8"/>
  <c r="L165" i="8"/>
  <c r="L231" i="8"/>
  <c r="L313" i="8"/>
  <c r="L305" i="8"/>
  <c r="L116" i="8"/>
  <c r="L270" i="8"/>
  <c r="L240" i="8"/>
  <c r="L263" i="8"/>
  <c r="L200" i="8"/>
  <c r="L65" i="8"/>
  <c r="L91" i="8"/>
  <c r="L293" i="8"/>
  <c r="L188" i="8"/>
  <c r="L318" i="8"/>
  <c r="L220" i="8"/>
  <c r="L255" i="8"/>
  <c r="L180" i="8"/>
  <c r="L275" i="8"/>
  <c r="L276" i="8"/>
  <c r="L273" i="8"/>
  <c r="L199" i="8"/>
  <c r="L267" i="8"/>
  <c r="L160" i="8"/>
  <c r="L329" i="8"/>
  <c r="L259" i="8"/>
  <c r="L280" i="8"/>
  <c r="L11" i="8"/>
  <c r="L38" i="8"/>
  <c r="L16" i="8"/>
  <c r="L218" i="8"/>
  <c r="L260" i="8"/>
  <c r="L261" i="8"/>
  <c r="L281" i="8"/>
  <c r="L21" i="8"/>
  <c r="L202" i="8"/>
  <c r="L141" i="8"/>
  <c r="L315" i="8"/>
  <c r="L27" i="8"/>
  <c r="L235" i="8"/>
  <c r="L236" i="8"/>
  <c r="L237" i="8"/>
  <c r="L110" i="8"/>
  <c r="L178" i="8"/>
  <c r="L66" i="8"/>
  <c r="L85" i="8"/>
  <c r="L296" i="8"/>
  <c r="L59" i="8"/>
  <c r="L298" i="8"/>
  <c r="L195" i="8"/>
  <c r="L277" i="8"/>
  <c r="L301" i="8"/>
  <c r="L108" i="8"/>
  <c r="L268" i="8"/>
  <c r="L138" i="8"/>
  <c r="L156" i="8"/>
  <c r="L69" i="8"/>
  <c r="L167" i="8"/>
  <c r="L271" i="8"/>
  <c r="L22" i="8"/>
  <c r="L132" i="8"/>
  <c r="L17" i="8"/>
  <c r="L140" i="8"/>
  <c r="L56" i="8"/>
  <c r="L57" i="8"/>
  <c r="L58" i="8"/>
  <c r="L136" i="8"/>
  <c r="L196" i="8"/>
  <c r="L319" i="8"/>
  <c r="L232" i="8"/>
  <c r="L233" i="8"/>
  <c r="L8" i="8"/>
  <c r="L40" i="8"/>
  <c r="L221" i="8"/>
  <c r="L5" i="8"/>
  <c r="L289" i="8"/>
  <c r="L142" i="8"/>
  <c r="L197" i="8"/>
  <c r="L168" i="8"/>
  <c r="L170" i="8"/>
  <c r="L113" i="8"/>
  <c r="L78" i="8"/>
  <c r="L79" i="8"/>
  <c r="L12" i="8"/>
  <c r="L37" i="8"/>
  <c r="L246" i="8"/>
  <c r="L139" i="8"/>
  <c r="L118" i="8"/>
  <c r="L13" i="8"/>
  <c r="L287" i="8"/>
  <c r="L18" i="8"/>
  <c r="L243" i="8"/>
  <c r="L26" i="8"/>
  <c r="L291" i="8"/>
  <c r="L74" i="8"/>
  <c r="L62" i="8"/>
  <c r="L179" i="8"/>
  <c r="L129" i="8"/>
  <c r="L122" i="8"/>
  <c r="L173" i="8"/>
  <c r="L336" i="8"/>
  <c r="L337" i="8"/>
  <c r="L282" i="8"/>
  <c r="L161" i="8"/>
  <c r="L162" i="8"/>
  <c r="L245" i="8"/>
  <c r="L143" i="8"/>
  <c r="L63" i="8"/>
  <c r="L123" i="8"/>
  <c r="L19" i="8"/>
  <c r="L306" i="8"/>
  <c r="L111" i="8"/>
  <c r="L297" i="8"/>
  <c r="L234" i="8"/>
  <c r="L222" i="8"/>
  <c r="L54" i="8"/>
  <c r="L121" i="8"/>
  <c r="L144" i="8"/>
  <c r="L272" i="8"/>
  <c r="L244" i="8"/>
  <c r="L321" i="8"/>
  <c r="L184" i="8"/>
  <c r="L43" i="8"/>
  <c r="L67" i="8"/>
  <c r="L299" i="8"/>
  <c r="L158" i="8"/>
  <c r="L45" i="8"/>
  <c r="L46" i="8"/>
  <c r="L104" i="8"/>
  <c r="L292" i="8"/>
  <c r="L124" i="8"/>
  <c r="L157" i="8"/>
  <c r="L77" i="8"/>
  <c r="L6" i="8"/>
  <c r="L7" i="8"/>
  <c r="L145" i="8"/>
  <c r="L316" i="8"/>
  <c r="L20" i="8"/>
  <c r="L92" i="8"/>
  <c r="L60" i="8"/>
  <c r="L320" i="8"/>
  <c r="L215" i="8"/>
  <c r="L133" i="8"/>
  <c r="L205" i="8"/>
  <c r="L149" i="8"/>
  <c r="L55" i="8"/>
  <c r="L75" i="8"/>
  <c r="L181" i="8"/>
  <c r="L93" i="8"/>
  <c r="L256" i="8"/>
  <c r="L300" i="8"/>
  <c r="L312" i="8"/>
  <c r="L265" i="8"/>
  <c r="L266" i="8"/>
  <c r="L198" i="8"/>
  <c r="L254" i="8"/>
  <c r="L185" i="8"/>
  <c r="L171" i="8"/>
  <c r="L190" i="8"/>
  <c r="L324" i="8"/>
  <c r="L214" i="8"/>
  <c r="L80" i="8"/>
  <c r="L194" i="8"/>
  <c r="L28" i="8"/>
  <c r="L228" i="8"/>
  <c r="L24" i="8"/>
  <c r="L42" i="8"/>
  <c r="L169" i="8"/>
  <c r="L47" i="8"/>
  <c r="L191" i="8"/>
  <c r="L285" i="8"/>
  <c r="L68" i="8"/>
  <c r="L201" i="8"/>
  <c r="L61" i="8"/>
  <c r="L223" i="8"/>
  <c r="L94" i="8"/>
  <c r="L206" i="8"/>
  <c r="L9" i="8"/>
  <c r="L290" i="8"/>
  <c r="L127" i="8"/>
  <c r="L192" i="8"/>
  <c r="L187" i="8"/>
  <c r="L114" i="8"/>
  <c r="L125" i="8"/>
  <c r="L81" i="8"/>
  <c r="L82" i="8"/>
  <c r="L83" i="8"/>
  <c r="L203" i="8"/>
  <c r="L150" i="8"/>
  <c r="L115" i="8"/>
  <c r="L189" i="8"/>
  <c r="L311" i="8"/>
  <c r="L226" i="8"/>
  <c r="L3" i="8"/>
  <c r="L177" i="8"/>
  <c r="L216" i="8"/>
  <c r="L322" i="8"/>
  <c r="L323" i="8"/>
  <c r="L32" i="8"/>
  <c r="L212" i="8"/>
  <c r="L213" i="8"/>
  <c r="L33" i="8"/>
  <c r="L283" i="8"/>
  <c r="L284" i="8"/>
  <c r="L257" i="8"/>
  <c r="L50" i="8"/>
  <c r="L269" i="8"/>
  <c r="L327" i="8"/>
  <c r="L210" i="8"/>
  <c r="L331" i="8"/>
  <c r="L64" i="8"/>
  <c r="L193" i="8"/>
  <c r="L14" i="8"/>
  <c r="L238" i="8"/>
  <c r="L4" i="8"/>
  <c r="L288" i="8"/>
  <c r="L130" i="8"/>
  <c r="L131" i="8"/>
  <c r="L172" i="8"/>
  <c r="L339" i="8"/>
  <c r="L25" i="8"/>
  <c r="L73" i="8"/>
  <c r="L15" i="8"/>
  <c r="L36" i="8"/>
  <c r="L39" i="8"/>
  <c r="L48" i="8"/>
  <c r="L328" i="8"/>
  <c r="L326" i="8"/>
  <c r="L278" i="8"/>
  <c r="L2" i="8"/>
  <c r="L207" i="8"/>
  <c r="L87" i="8"/>
  <c r="L88" i="8"/>
  <c r="L89" i="8"/>
  <c r="L151" i="8"/>
  <c r="L49" i="8"/>
  <c r="L262" i="8"/>
  <c r="L96" i="8"/>
  <c r="L97" i="8"/>
  <c r="L98" i="8"/>
  <c r="L229" i="8"/>
  <c r="L41" i="8"/>
  <c r="L274" i="8"/>
  <c r="L154" i="8"/>
  <c r="L224" i="8"/>
  <c r="L134" i="8"/>
  <c r="L100" i="8"/>
  <c r="L101" i="8"/>
  <c r="L102" i="8"/>
  <c r="L242" i="8"/>
  <c r="L51" i="8"/>
  <c r="L29" i="8"/>
  <c r="L294" i="8"/>
  <c r="L325" i="8"/>
  <c r="L70" i="8"/>
  <c r="L225" i="8"/>
  <c r="L304" i="8"/>
  <c r="L119" i="8"/>
  <c r="L307" i="8"/>
  <c r="L308" i="8"/>
  <c r="L309" i="8"/>
  <c r="L71" i="8"/>
  <c r="L247" i="8"/>
  <c r="L250" i="8"/>
  <c r="L251" i="8"/>
  <c r="L252" i="8"/>
  <c r="L155" i="8"/>
  <c r="L230" i="8"/>
  <c r="L90" i="8"/>
  <c r="L239" i="8"/>
  <c r="L258" i="8"/>
  <c r="L182" i="8"/>
  <c r="L128" i="8"/>
  <c r="L314" i="8"/>
  <c r="L163" i="8"/>
  <c r="L227" i="8"/>
  <c r="L137" i="8"/>
  <c r="L295" i="8"/>
  <c r="L135" i="8"/>
  <c r="L217" i="8"/>
  <c r="L72" i="8"/>
  <c r="L10" i="8"/>
  <c r="L310" i="8"/>
  <c r="L183" i="8"/>
  <c r="L109" i="8"/>
  <c r="L146" i="8"/>
  <c r="L147" i="8"/>
  <c r="L148" i="8"/>
  <c r="L286" i="8"/>
  <c r="L126" i="8"/>
  <c r="L335" i="8"/>
  <c r="L117" i="8"/>
  <c r="L52" i="8"/>
  <c r="L120" i="8"/>
  <c r="L84" i="8"/>
  <c r="L317" i="8"/>
  <c r="L186" i="8"/>
  <c r="L204" i="8"/>
  <c r="L166" i="8"/>
  <c r="L174" i="8"/>
  <c r="L175" i="8"/>
  <c r="L340" i="8"/>
  <c r="L23" i="8"/>
  <c r="L332" i="8"/>
  <c r="L333" i="8"/>
  <c r="L334" i="8"/>
  <c r="L248" i="8"/>
  <c r="L249" i="8"/>
  <c r="L211" i="8"/>
  <c r="L153" i="8"/>
  <c r="L99" i="8"/>
  <c r="L105" i="8"/>
  <c r="L106" i="8"/>
  <c r="L107" i="8"/>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K7" i="15" s="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J2" i="3" s="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K4" i="3" s="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D48" i="5"/>
  <c r="B47" i="5"/>
  <c r="C47" i="5"/>
  <c r="B48" i="5"/>
  <c r="C48" i="5"/>
  <c r="B49" i="5"/>
  <c r="C49" i="5"/>
  <c r="D49" i="5" s="1"/>
  <c r="B50" i="5"/>
  <c r="C50" i="5"/>
  <c r="D50" i="5" s="1"/>
  <c r="B51" i="5"/>
  <c r="C51" i="5"/>
  <c r="D51" i="5" s="1"/>
  <c r="B52" i="5"/>
  <c r="C52" i="5"/>
  <c r="B53" i="5"/>
  <c r="C53" i="5"/>
  <c r="D53" i="5" s="1"/>
  <c r="R2" i="1"/>
  <c r="D61" i="16" l="1"/>
  <c r="C61" i="16"/>
  <c r="B15" i="5"/>
  <c r="C15" i="5" s="1"/>
  <c r="K3" i="3"/>
  <c r="K5" i="15"/>
  <c r="K5" i="3"/>
  <c r="L5" i="3" s="1"/>
  <c r="J4" i="3"/>
  <c r="L4" i="3" s="1"/>
  <c r="J5" i="3"/>
  <c r="K9" i="15"/>
  <c r="K6" i="15"/>
  <c r="M4" i="3" s="1"/>
  <c r="N4" i="3" s="1"/>
  <c r="K8" i="15"/>
  <c r="K2" i="15"/>
  <c r="K2" i="3"/>
  <c r="L2" i="3" s="1"/>
  <c r="C6" i="5"/>
  <c r="J3" i="3"/>
  <c r="K4" i="15"/>
  <c r="K3" i="15"/>
  <c r="C7" i="5"/>
  <c r="C8" i="5"/>
  <c r="B12" i="5"/>
  <c r="C12" i="5" s="1"/>
  <c r="B19" i="5"/>
  <c r="C19" i="5" s="1"/>
  <c r="C5" i="5"/>
  <c r="B18" i="5"/>
  <c r="C18" i="5" s="1"/>
  <c r="B14" i="5"/>
  <c r="C14" i="5" s="1"/>
  <c r="B21" i="5"/>
  <c r="C21" i="5" s="1"/>
  <c r="B17" i="5"/>
  <c r="C17" i="5" s="1"/>
  <c r="B13" i="5"/>
  <c r="C13" i="5" s="1"/>
  <c r="B20" i="5"/>
  <c r="C20" i="5" s="1"/>
  <c r="B16" i="5"/>
  <c r="C16" i="5" s="1"/>
  <c r="D52" i="5"/>
  <c r="M3" i="3" l="1"/>
  <c r="N3" i="3" s="1"/>
  <c r="M5" i="3"/>
  <c r="N5" i="3" s="1"/>
  <c r="M2" i="3"/>
  <c r="N2" i="3" s="1"/>
  <c r="L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02B385-8E8B-4092-8DB5-D0626D791CD7}"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18F4C29C-B5BA-47F6-B152-53913063D02F}"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<sst xmlns="http://schemas.openxmlformats.org/spreadsheetml/2006/main" count="7577" uniqueCount="503">
  <si>
    <t>Post ID</t>
  </si>
  <si>
    <t>Platform</t>
  </si>
  <si>
    <t>Date</t>
  </si>
  <si>
    <t>Content Type</t>
  </si>
  <si>
    <t>Post Text</t>
  </si>
  <si>
    <t>Likes</t>
  </si>
  <si>
    <t>Shares</t>
  </si>
  <si>
    <t>Comments</t>
  </si>
  <si>
    <t>Impressions</t>
  </si>
  <si>
    <t>Reach</t>
  </si>
  <si>
    <t>Clicks</t>
  </si>
  <si>
    <t>Hashtags Used</t>
  </si>
  <si>
    <t>Campaign_Name</t>
  </si>
  <si>
    <t>P001</t>
  </si>
  <si>
    <t>Twitter</t>
  </si>
  <si>
    <t>Reel</t>
  </si>
  <si>
    <t>Check out our latest reel on twitter!</t>
  </si>
  <si>
    <t>#LiveForNow,#AnytimeIsPepsiTime</t>
  </si>
  <si>
    <t>SummerSplash</t>
  </si>
  <si>
    <t>P002</t>
  </si>
  <si>
    <t>Text</t>
  </si>
  <si>
    <t>Check out our latest text on twitter!</t>
  </si>
  <si>
    <t>#PepsiCoRefresh,#BetterWithPepsi</t>
  </si>
  <si>
    <t>FestiveRadiance</t>
  </si>
  <si>
    <t>P003</t>
  </si>
  <si>
    <t>YouTube</t>
  </si>
  <si>
    <t>Check out our latest reel on youtube!</t>
  </si>
  <si>
    <t>#PepsiCoRefresh</t>
  </si>
  <si>
    <t>NewYearRefresh</t>
  </si>
  <si>
    <t>P004</t>
  </si>
  <si>
    <t>Instagram</t>
  </si>
  <si>
    <t>Story</t>
  </si>
  <si>
    <t>Check out our latest story on instagram!</t>
  </si>
  <si>
    <t>#ThirstyForMore</t>
  </si>
  <si>
    <t>DailyWellness</t>
  </si>
  <si>
    <t>P005</t>
  </si>
  <si>
    <t>#ThirstyForMore,#PepsiCoRefresh</t>
  </si>
  <si>
    <t>P006</t>
  </si>
  <si>
    <t>Facebook</t>
  </si>
  <si>
    <t>Carousel</t>
  </si>
  <si>
    <t>Check out our latest carousel on facebook!</t>
  </si>
  <si>
    <t>P007</t>
  </si>
  <si>
    <t>Check out our latest carousel on twitter!</t>
  </si>
  <si>
    <t>P008</t>
  </si>
  <si>
    <t>Image</t>
  </si>
  <si>
    <t>Check out our latest image on youtube!</t>
  </si>
  <si>
    <t>P009</t>
  </si>
  <si>
    <t>Check out our latest text on facebook!</t>
  </si>
  <si>
    <t>P010</t>
  </si>
  <si>
    <t>Check out our latest image on facebook!</t>
  </si>
  <si>
    <t>P011</t>
  </si>
  <si>
    <t>#LiveForNow</t>
  </si>
  <si>
    <t>P012</t>
  </si>
  <si>
    <t>Check out our latest reel on facebook!</t>
  </si>
  <si>
    <t>P013</t>
  </si>
  <si>
    <t>Check out our latest carousel on youtube!</t>
  </si>
  <si>
    <t>P014</t>
  </si>
  <si>
    <t>Check out our latest story on facebook!</t>
  </si>
  <si>
    <t>P015</t>
  </si>
  <si>
    <t>Video</t>
  </si>
  <si>
    <t>Check out our latest video on facebook!</t>
  </si>
  <si>
    <t>P016</t>
  </si>
  <si>
    <t>P017</t>
  </si>
  <si>
    <t>P018</t>
  </si>
  <si>
    <t>Check out our latest reel on instagram!</t>
  </si>
  <si>
    <t>P019</t>
  </si>
  <si>
    <t>Check out our latest video on instagram!</t>
  </si>
  <si>
    <t>P020</t>
  </si>
  <si>
    <t>Check out our latest carousel on instagram!</t>
  </si>
  <si>
    <t>P021</t>
  </si>
  <si>
    <t>P022</t>
  </si>
  <si>
    <t>P023</t>
  </si>
  <si>
    <t>#PepsiCoRefresh,#AnytimeIsPepsiTime</t>
  </si>
  <si>
    <t>P024</t>
  </si>
  <si>
    <t>P025</t>
  </si>
  <si>
    <t>P026</t>
  </si>
  <si>
    <t>P027</t>
  </si>
  <si>
    <t>Check out our latest text on youtube!</t>
  </si>
  <si>
    <t>P028</t>
  </si>
  <si>
    <t>P029</t>
  </si>
  <si>
    <t>P030</t>
  </si>
  <si>
    <t>P031</t>
  </si>
  <si>
    <t>Check out our latest text on instagram!</t>
  </si>
  <si>
    <t>P032</t>
  </si>
  <si>
    <t>P033</t>
  </si>
  <si>
    <t>P034</t>
  </si>
  <si>
    <t>P035</t>
  </si>
  <si>
    <t>P036</t>
  </si>
  <si>
    <t>P037</t>
  </si>
  <si>
    <t>P038</t>
  </si>
  <si>
    <t>P039</t>
  </si>
  <si>
    <t>P040</t>
  </si>
  <si>
    <t>Check out our latest image on twitter!</t>
  </si>
  <si>
    <t>P041</t>
  </si>
  <si>
    <t>P042</t>
  </si>
  <si>
    <t>P043</t>
  </si>
  <si>
    <t>P044</t>
  </si>
  <si>
    <t>P045</t>
  </si>
  <si>
    <t>P046</t>
  </si>
  <si>
    <t>Check out our latest video on twitter!</t>
  </si>
  <si>
    <t>P047</t>
  </si>
  <si>
    <t>P048</t>
  </si>
  <si>
    <t>Check out our latest story on twitter!</t>
  </si>
  <si>
    <t>P049</t>
  </si>
  <si>
    <t>P050</t>
  </si>
  <si>
    <t>Check out our latest story on youtube!</t>
  </si>
  <si>
    <t>P051</t>
  </si>
  <si>
    <t>P052</t>
  </si>
  <si>
    <t>P053</t>
  </si>
  <si>
    <t>#ThirstyForMore,#BetterWithPepsi</t>
  </si>
  <si>
    <t>P054</t>
  </si>
  <si>
    <t>P055</t>
  </si>
  <si>
    <t>P056</t>
  </si>
  <si>
    <t>P057</t>
  </si>
  <si>
    <t>P058</t>
  </si>
  <si>
    <t>P059</t>
  </si>
  <si>
    <t>P060</t>
  </si>
  <si>
    <t>#ThirstyForMore,#PepsiCoRefresh,#AnytimeIsPepsiTime</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</si>
  <si>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</si>
  <si>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</si>
  <si>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</si>
  <si>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</si>
  <si>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</si>
  <si>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</si>
  <si>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</si>
  <si>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</si>
  <si>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</si>
  <si>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</si>
  <si>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</si>
  <si>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</si>
  <si>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</si>
  <si>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</si>
  <si>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</si>
  <si>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</si>
  <si>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</si>
  <si>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</si>
  <si>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</si>
  <si>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</si>
  <si>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</si>
  <si>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</si>
  <si>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Check out our latest image on instagram!</t>
  </si>
  <si>
    <t>#LiveForNow,#PepsiCoRefresh,#AnytimeIsPepsiTime</t>
  </si>
  <si>
    <t>P083</t>
  </si>
  <si>
    <t>Check out our latest video on youtube!</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</si>
  <si>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</si>
  <si>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</si>
  <si>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</si>
  <si>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</si>
  <si>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</si>
  <si>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</si>
  <si>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</si>
  <si>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</si>
  <si>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</si>
  <si>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</si>
  <si>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</si>
  <si>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</si>
  <si>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</si>
  <si>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</si>
  <si>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</si>
  <si>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</si>
  <si>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</si>
  <si>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</si>
  <si>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</si>
  <si>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</si>
  <si>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</si>
  <si>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</si>
  <si>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</si>
  <si>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</si>
  <si>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</si>
  <si>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</si>
  <si>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</si>
  <si>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</si>
  <si>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</si>
  <si>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</si>
  <si>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</si>
  <si>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</si>
  <si>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</si>
  <si>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</si>
  <si>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</si>
  <si>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</si>
  <si>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</si>
  <si>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</si>
  <si>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</si>
  <si>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</si>
  <si>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</si>
  <si>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</si>
  <si>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</si>
  <si>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</si>
  <si>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</si>
  <si>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</si>
  <si>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</si>
  <si>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</si>
  <si>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</si>
  <si>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</si>
  <si>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</si>
  <si>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</si>
  <si>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</si>
  <si>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</si>
  <si>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</si>
  <si>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</si>
  <si>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</si>
  <si>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#ThirstyForMore,#SmoothLikeNitroPepsi</t>
  </si>
  <si>
    <t>P141</t>
  </si>
  <si>
    <t>P142</t>
  </si>
  <si>
    <t>P143</t>
  </si>
  <si>
    <t>P144</t>
  </si>
  <si>
    <t>P145</t>
  </si>
  <si>
    <t>P146</t>
  </si>
  <si>
    <t>#ThirstyForMore,#AnytimeIsPepsiTime</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</si>
  <si>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</si>
  <si>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</si>
  <si>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</si>
  <si>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</si>
  <si>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</si>
  <si>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</si>
  <si>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</si>
  <si>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</si>
  <si>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</si>
  <si>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</si>
  <si>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</si>
  <si>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</si>
  <si>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</si>
  <si>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</si>
  <si>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</si>
  <si>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</si>
  <si>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</si>
  <si>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</si>
  <si>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</si>
  <si>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</si>
  <si>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</si>
  <si>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</si>
  <si>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</si>
  <si>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</si>
  <si>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</si>
  <si>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</si>
  <si>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</si>
  <si>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</si>
  <si>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</si>
  <si>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</si>
  <si>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</si>
  <si>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</si>
  <si>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</si>
  <si>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</si>
  <si>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</si>
  <si>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</si>
  <si>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</si>
  <si>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</si>
  <si>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</si>
  <si>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</si>
  <si>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</si>
  <si>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</si>
  <si>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</si>
  <si>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</si>
  <si>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</si>
  <si>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</si>
  <si>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</si>
  <si>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</si>
  <si>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</si>
  <si>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</si>
  <si>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</si>
  <si>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</si>
  <si>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</si>
  <si>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</si>
  <si>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</si>
  <si>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</si>
  <si>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</si>
  <si>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</si>
  <si>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</si>
  <si>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#PepsiCoRefresh,#SmoothLikeNitroPepsi</t>
  </si>
  <si>
    <t>P206</t>
  </si>
  <si>
    <t>P207</t>
  </si>
  <si>
    <t>P208</t>
  </si>
  <si>
    <t>P209</t>
  </si>
  <si>
    <t>P210</t>
  </si>
  <si>
    <t>P211</t>
  </si>
  <si>
    <t>P212</t>
  </si>
  <si>
    <t>P213</t>
  </si>
  <si>
    <t>P214</t>
  </si>
  <si>
    <t>P215</t>
  </si>
  <si>
    <t>P216</t>
  </si>
  <si>
    <t>P217</t>
  </si>
  <si>
    <t>P218</t>
  </si>
  <si>
    <t>P219</t>
  </si>
  <si>
    <t>P220</t>
  </si>
  <si>
    <t>P221</t>
  </si>
  <si>
    <t>P222</t>
  </si>
  <si>
    <t>#LiveForNow,#SmoothLikeNitroPepsi</t>
  </si>
  <si>
    <t>P223</t>
  </si>
  <si>
    <t>P224</t>
  </si>
  <si>
    <t>P225</t>
  </si>
  <si>
    <t>P226</t>
  </si>
  <si>
    <t>P227</t>
  </si>
  <si>
    <t>P228</t>
  </si>
  <si>
    <t>P229</t>
  </si>
  <si>
    <t>P230</t>
  </si>
  <si>
    <t>P231</t>
  </si>
  <si>
    <t>P232</t>
  </si>
  <si>
    <t>P233</t>
  </si>
  <si>
    <t>P234</t>
  </si>
  <si>
    <t>P235</t>
  </si>
  <si>
    <t>P236</t>
  </si>
  <si>
    <t>#LiveForNow,#AnytimeIsPepsiTime,#ThirstyForMore</t>
  </si>
  <si>
    <t>P237</t>
  </si>
  <si>
    <t>P238</t>
  </si>
  <si>
    <t>P239</t>
  </si>
  <si>
    <t>P240</t>
  </si>
  <si>
    <t>P241</t>
  </si>
  <si>
    <t>P242</t>
  </si>
  <si>
    <t>P243</t>
  </si>
  <si>
    <t>P244</t>
  </si>
  <si>
    <t>P245</t>
  </si>
  <si>
    <t>P246</t>
  </si>
  <si>
    <t>P247</t>
  </si>
  <si>
    <t>#LiveForNow,#ThirstyForMore,#BetterWithPepsi</t>
  </si>
  <si>
    <t>P248</t>
  </si>
  <si>
    <t>P249</t>
  </si>
  <si>
    <t>P250</t>
  </si>
  <si>
    <t>P251</t>
  </si>
  <si>
    <t>P252</t>
  </si>
  <si>
    <t>P253</t>
  </si>
  <si>
    <t>P254</t>
  </si>
  <si>
    <t>P255</t>
  </si>
  <si>
    <t>P256</t>
  </si>
  <si>
    <t>P257</t>
  </si>
  <si>
    <t>#ThirstyForMore,#ThirstyForMore,#BetterWithPepsi</t>
  </si>
  <si>
    <t>P258</t>
  </si>
  <si>
    <t>P259</t>
  </si>
  <si>
    <t>P260</t>
  </si>
  <si>
    <t>#PepsiCoRefresh,#ThirstyForMore,#BetterWithPepsi</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</si>
  <si>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</si>
  <si>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</si>
  <si>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</si>
  <si>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</si>
  <si>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</si>
  <si>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</si>
  <si>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</si>
  <si>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</si>
  <si>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</si>
  <si>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</si>
  <si>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</si>
  <si>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</si>
  <si>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</si>
  <si>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</si>
  <si>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</si>
  <si>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</si>
  <si>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</si>
  <si>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</si>
  <si>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</si>
  <si>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</si>
  <si>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</si>
  <si>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</si>
  <si>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</si>
  <si>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</si>
  <si>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</si>
  <si>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</si>
  <si>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</si>
  <si>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</si>
  <si>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</si>
  <si>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</si>
  <si>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</si>
  <si>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</si>
  <si>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</si>
  <si>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</si>
  <si>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</si>
  <si>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</si>
  <si>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</si>
  <si>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</si>
  <si>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</si>
  <si>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</si>
  <si>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</si>
  <si>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</si>
  <si>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</si>
  <si>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</si>
  <si>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</si>
  <si>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</si>
  <si>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Start_Date</t>
  </si>
  <si>
    <t>End_Date</t>
  </si>
  <si>
    <t>Objective</t>
  </si>
  <si>
    <t>Total_Budget</t>
  </si>
  <si>
    <t>Target_Platforms</t>
  </si>
  <si>
    <t>Primary_Hashtags</t>
  </si>
  <si>
    <t>Brand Awareness</t>
  </si>
  <si>
    <t>Instagram,Facebook</t>
  </si>
  <si>
    <t>Engagement</t>
  </si>
  <si>
    <t>Instagram,YouTube</t>
  </si>
  <si>
    <t>#AnytimeIsPepsiTime,</t>
  </si>
  <si>
    <t>Product Launch</t>
  </si>
  <si>
    <t>Facebook,Twitter</t>
  </si>
  <si>
    <t>#SmoothLikeNitroPepsi</t>
  </si>
  <si>
    <t>Traffic</t>
  </si>
  <si>
    <t>Instagram,Twitter</t>
  </si>
  <si>
    <t>#BetterWithPepsi,#LiveForNow</t>
  </si>
  <si>
    <t>#AnytimeIsPepsiTime</t>
  </si>
  <si>
    <t>#BetterWithPepsi</t>
  </si>
  <si>
    <t>Hashtag 1</t>
  </si>
  <si>
    <t>Hashtag 2</t>
  </si>
  <si>
    <t>Hashtag 3</t>
  </si>
  <si>
    <t>Unassigned</t>
  </si>
  <si>
    <t>Task 2</t>
  </si>
  <si>
    <t>Question 1- To calculate the average engagement rate per platform</t>
  </si>
  <si>
    <t>Average_Engagement_Rate</t>
  </si>
  <si>
    <t>Question 2- Identify top 10 posts with highest engagement.</t>
  </si>
  <si>
    <t>Formula Used</t>
  </si>
  <si>
    <t>=AVERAGEIF(Posts!B2:B301,'Task 2'!B5,Posts!Q2:Q301)</t>
  </si>
  <si>
    <t>=INDEX(Posts!$A$2:$A$301,MATCH(LARGE(Posts!$Q$2:$Q$301,ROW(Posts!A1)),Posts!$Q$2:$Q$301,0))</t>
  </si>
  <si>
    <t>=INDEX(Posts!$Q$2:$Q$301,MATCH('Task 2'!B12,Posts!$A$2:$A$301,0))</t>
  </si>
  <si>
    <t>Question 3- Create a Pivot Table</t>
  </si>
  <si>
    <t>a. Total Likes, Shares, and Comments by Content Type and Platform.</t>
  </si>
  <si>
    <t>Grand Total</t>
  </si>
  <si>
    <t>Platforms</t>
  </si>
  <si>
    <t>Total Likes</t>
  </si>
  <si>
    <t>Total Shares</t>
  </si>
  <si>
    <t>Total Comments</t>
  </si>
  <si>
    <t>b.Average Clicks per post by Hashtag.</t>
  </si>
  <si>
    <t>Attribute</t>
  </si>
  <si>
    <t>Hashtag</t>
  </si>
  <si>
    <t>Here, to find Average clicks per post by Hashtag. First I need to Unpivot the Hashtag column so that different Hashtags has their respective values assigned. To do the I created Post_Table which has the respective Hashtag values.</t>
  </si>
  <si>
    <t>Hashtags</t>
  </si>
  <si>
    <t>Average Clicks</t>
  </si>
  <si>
    <t xml:space="preserve">Question 4- Highlight top-performing hashtags using a formula-based ranking. </t>
  </si>
  <si>
    <t>Rank</t>
  </si>
  <si>
    <t>=RANK.EQ(C48,$C$48:$C$53,0)</t>
  </si>
  <si>
    <t>Used conditional formatting for highlighting the top 3 performing hashtag.</t>
  </si>
  <si>
    <t>Task 1</t>
  </si>
  <si>
    <t>Task 3</t>
  </si>
  <si>
    <t xml:space="preserve">Question 1- Identify which Platform generates the highest engagement. </t>
  </si>
  <si>
    <t>Total Engagement</t>
  </si>
  <si>
    <t>Average Engagement_Rate</t>
  </si>
  <si>
    <t xml:space="preserve">Question 2- Compare Growth rates of followers across different platforms. </t>
  </si>
  <si>
    <t>Net Growth</t>
  </si>
  <si>
    <t>start_week</t>
  </si>
  <si>
    <t>end_week</t>
  </si>
  <si>
    <t>Growth Rate</t>
  </si>
  <si>
    <t>platform</t>
  </si>
  <si>
    <t>start_follower</t>
  </si>
  <si>
    <t>end_follower</t>
  </si>
  <si>
    <t>growth rate</t>
  </si>
  <si>
    <t>=(end_follower-start_follower)/start_follower</t>
  </si>
  <si>
    <t>Question 3- Visualize the engagement by ad spend across Platform.</t>
  </si>
  <si>
    <t>Total_Engagement</t>
  </si>
  <si>
    <t>Total_Ad_Spend</t>
  </si>
  <si>
    <t>Engagement_per_Rupee</t>
  </si>
  <si>
    <t>=Total_Engagement/Total_Ad_Spend</t>
  </si>
  <si>
    <t>QUESTION 4- Advise whether to focus on 1–2 core platforms or continue multi-platform strategy. 
Justify the opinion by the analysis.</t>
  </si>
  <si>
    <t>Task 4</t>
  </si>
  <si>
    <t xml:space="preserve">Question 1 - a) Most frequently used hashtags. </t>
  </si>
  <si>
    <t>Times Used</t>
  </si>
  <si>
    <t>Average Likes</t>
  </si>
  <si>
    <t>Average Comments</t>
  </si>
  <si>
    <t>Average Shares</t>
  </si>
  <si>
    <t>In terms of Avg of Likes and Shares, #BetterWithPepsi has performed better than some of the most frequently used Hashtags.</t>
  </si>
  <si>
    <t xml:space="preserve">Question 2- Compare performance of videos vs. images vs. carousels across platforms. </t>
  </si>
  <si>
    <t xml:space="preserve">Question 3- Recommend which content types should be prioritized on which platform. </t>
  </si>
  <si>
    <t>Task 5</t>
  </si>
  <si>
    <t>Question 1- a) Total and average impressions, likes, and clicks per campaign.</t>
  </si>
  <si>
    <t>Total Impressions</t>
  </si>
  <si>
    <t>Average Impressions</t>
  </si>
  <si>
    <t>Total Clicks</t>
  </si>
  <si>
    <t>Question 2- b) Engagement uplift during vs. before the campaign period.</t>
  </si>
  <si>
    <t>Avg_Eng_Rate_Before</t>
  </si>
  <si>
    <t>Avg_Eng_Rate_During</t>
  </si>
  <si>
    <t>Uplift %</t>
  </si>
  <si>
    <t>=AVERAGEIFS(Posts!$R$2:$R$301,Posts!$Q$2:$Q$301,'Campaign Metadata'!$A2,Posts!$C$2:$C$301, "&lt;" &amp; 'Campaign Metadata'!$B2)</t>
  </si>
  <si>
    <t>=AVERAGEIFS(Posts!$R$2:$R$301,Posts!$Q$2:$Q$301,'Campaign Metadata'!$A2,Posts!$C$2:$C$301, "&gt;=" &amp; 'Campaign Metadata'!$B2, Posts!$C$2:$C$301,"&lt;="&amp;'Campaign Metadata'!$C2)</t>
  </si>
  <si>
    <t>=((Avg_Eng_Rate_During-Avg_Eng_Rate_Before)/Avg_Eng_Rate_Before)*100</t>
  </si>
  <si>
    <t>Question 2- a) Which campaign had the highest ROI in terms of engagement vs. budget.</t>
  </si>
  <si>
    <t>Value</t>
  </si>
  <si>
    <t>ROI</t>
  </si>
  <si>
    <t>Task 6</t>
  </si>
  <si>
    <t>Question 1- Visualize weekly follower growth trends by platform using line charts.</t>
  </si>
  <si>
    <t>Net Growth Per Platform</t>
  </si>
  <si>
    <t>Question 2- Identify the week with the highest net follower gain.</t>
  </si>
  <si>
    <t>Max Net Follower</t>
  </si>
  <si>
    <t>Weekday</t>
  </si>
  <si>
    <t>Weekdates</t>
  </si>
  <si>
    <t>=MAX('Engagement Summary'!H2:H201)</t>
  </si>
  <si>
    <t>=INDEX('Engagement Summary'!A2:A201,MATCH(MAX('Engagement Summary'!H2:H201),'Engagement Summary'!H2:H201,0))</t>
  </si>
  <si>
    <t>Question 3- Create a moving average chart to smooth out follower growth trends.</t>
  </si>
  <si>
    <t>Row Labels</t>
  </si>
  <si>
    <t>Sum of Net Growth</t>
  </si>
  <si>
    <t>Facebook MA</t>
  </si>
  <si>
    <t>Instagram MA</t>
  </si>
  <si>
    <t>Twitter MA</t>
  </si>
  <si>
    <t>YouTube MA</t>
  </si>
  <si>
    <t>Question 4- Determine the correlation between ad spend and follower growth using scatter plots and basic correlation calculation.</t>
  </si>
  <si>
    <t>Data Preprocessing and Cleaning</t>
  </si>
  <si>
    <t>Engagement Analysis</t>
  </si>
  <si>
    <t>Social Media Platform analysis</t>
  </si>
  <si>
    <t>Hashtag &amp; Content Strategy</t>
  </si>
  <si>
    <t>Campaign Effectiveness</t>
  </si>
  <si>
    <t>Follower Retention &amp; Audience Loyalty</t>
  </si>
  <si>
    <t>The correlation value shows that there is weak correlation between Net Growth and Ad Spend</t>
  </si>
  <si>
    <t>=CORREL('Engagement Summary'!G2:G201,'Engagement Summary'!H2:H201)</t>
  </si>
  <si>
    <t>Question 2- b) Which campaign had the strongest follower growth impact.</t>
  </si>
  <si>
    <t>Total Growth</t>
  </si>
  <si>
    <t>Avg Weekly Growth</t>
  </si>
  <si>
    <t>Total Net Growth</t>
  </si>
  <si>
    <t>1. Using the Data tab and Conditional Formatting, I checked for duplicates, but none were found.</t>
  </si>
  <si>
    <t>2.In the sheets Engagement Summary and Campaign Metadata, the dates were initially stored as text, so I reformatted them into proper date values using the Number group in the Home tab. I also standardized the platform names to maintain consistency.</t>
  </si>
  <si>
    <t>3. Ensured that columns such as Likes, Shares, Comments, and Reach were properly formatted as numbers or currency, wherever applicable.</t>
  </si>
  <si>
    <t>4. Using the Data tab, I split the data based on different hashtags and replaced the blank values in the Campaign column with 'Unassigned'.</t>
  </si>
  <si>
    <t>Question 1 - b) Average performance (likes, comments) of posts containing each hashtag.</t>
  </si>
  <si>
    <t>ROI = Total_Engagement/Total_Budget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</si>
</sst>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
    <numFmt numFmtId="165" formatCode="0.000"/>
    <numFmt numFmtId="166" formatCode="&quot;₹&quot;\ #,##0.00"/>
    <numFmt numFmtId="167" formatCode="0.0000"/>
  </numFmts>
  <fonts count="2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Arial"/>
    </font>
    <font>
      <sz val="11"/>
      <color theme="1"/>
      <name val="Calibri"/>
    </font>
    <font>
      <b/>
      <sz val="11"/>
      <color theme="1"/>
      <name val="Calibri"/>
      <family val="2"/>
      <scheme val="minor"/>
    </font>
    <font>
      <b/>
      <sz val="11"/>
      <color theme="1"/>
      <name val="Calibri"/>
      <family val="2"/>
    </font>
    <font>
      <sz val="8"/>
      <name val="Calibri"/>
      <family val="2"/>
      <scheme val="minor"/>
    </font>
    <font>
      <b/>
      <i/>
      <sz val="20"/>
      <color theme="1"/>
      <name val="Calibri"/>
      <family val="2"/>
      <scheme val="minor"/>
    </font>
    <font>
      <sz val="11"/>
      <color theme="1"/>
      <name val="Calibri"/>
      <family val="2"/>
    </font>
    <font>
      <b/>
      <sz val="11"/>
      <color theme="0"/>
      <name val="Calibri"/>
      <family val="2"/>
      <scheme val="minor"/>
    </font>
    <font>
      <b/>
      <sz val="20"/>
      <color theme="1"/>
      <name val="Calibri"/>
      <family val="2"/>
      <scheme val="minor"/>
    </font>
  </fonts>
  <fills count="10">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rgb="FF00B0F0"/>
        <bgColor indexed="64"/>
      </patternFill>
    </fill>
    <fill>
      <patternFill patternType="solid">
        <fgColor theme="7" tint="0.79998168889431442"/>
        <bgColor theme="4" tint="0.79998168889431442"/>
      </patternFill>
    </fill>
    <fill>
      <patternFill patternType="solid">
        <fgColor theme="7" tint="0.79998168889431442"/>
        <bgColor indexed="64"/>
      </patternFill>
    </fill>
    <fill>
      <patternFill patternType="solid">
        <fgColor theme="9"/>
        <bgColor theme="9"/>
      </patternFill>
    </fill>
    <fill>
      <patternFill patternType="solid">
        <fgColor theme="9" tint="0.79998168889431442"/>
        <bgColor theme="9" tint="0.79998168889431442"/>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medium">
        <color indexed="64"/>
      </bottom>
      <diagonal/>
    </border>
    <border>
      <left/>
      <right style="medium">
        <color indexed="64"/>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2">
    <xf numFmtId="0" fontId="0" fillId="0" borderId="0"/>
    <xf numFmtId="9" fontId="10" fillId="0" borderId="0" applyFont="0" applyFill="0" applyBorder="0" applyAlignment="0" applyProtection="0"/>
  </cellStyleXfs>
  <cellXfs count="178">
    <xf numFmtId="0" fontId="0" fillId="0" borderId="0" xfId="0"/>
    <xf numFmtId="0" fontId="9" fillId="0" borderId="1" xfId="0" applyFont="1" applyBorder="1" applyAlignment="1">
      <alignment horizontal="center" vertical="top"/>
    </xf>
    <xf numFmtId="0" fontId="9" fillId="0" borderId="1" xfId="0" applyFont="1" applyBorder="1" applyAlignment="1">
      <alignment horizontal="center" vertical="top" wrapText="1"/>
    </xf>
    <xf numFmtId="0" fontId="10" fillId="0" borderId="0" xfId="0" applyFont="1"/>
    <xf numFmtId="0" fontId="11" fillId="0" borderId="0" xfId="0" applyFont="1"/>
    <xf numFmtId="0" fontId="12" fillId="0" borderId="0" xfId="0" applyFont="1"/>
    <xf numFmtId="0" fontId="12" fillId="0" borderId="1" xfId="0" applyFont="1" applyBorder="1"/>
    <xf numFmtId="0" fontId="12" fillId="0" borderId="1" xfId="0" applyFont="1" applyBorder="1" applyAlignment="1">
      <alignment wrapText="1"/>
    </xf>
    <xf numFmtId="0" fontId="10" fillId="0" borderId="0" xfId="0" applyFont="1" applyAlignment="1">
      <alignment wrapText="1"/>
    </xf>
    <xf numFmtId="14" fontId="9" fillId="0" borderId="1" xfId="0" applyNumberFormat="1" applyFont="1" applyBorder="1" applyAlignment="1">
      <alignment horizontal="center" vertical="top"/>
    </xf>
    <xf numFmtId="14" fontId="10" fillId="0" borderId="0" xfId="0" applyNumberFormat="1" applyFont="1"/>
    <xf numFmtId="14" fontId="0" fillId="0" borderId="0" xfId="0" applyNumberFormat="1"/>
    <xf numFmtId="14" fontId="9" fillId="0" borderId="1" xfId="0" applyNumberFormat="1" applyFont="1" applyBorder="1"/>
    <xf numFmtId="14" fontId="12" fillId="0" borderId="0" xfId="0" applyNumberFormat="1" applyFont="1"/>
    <xf numFmtId="14" fontId="12" fillId="0" borderId="1" xfId="0" applyNumberFormat="1" applyFont="1" applyBorder="1" applyAlignment="1">
      <alignment wrapText="1"/>
    </xf>
    <xf numFmtId="14" fontId="10" fillId="0" borderId="0" xfId="0" applyNumberFormat="1" applyFont="1" applyAlignment="1">
      <alignment wrapText="1"/>
    </xf>
    <xf numFmtId="2" fontId="0" fillId="0" borderId="0" xfId="0" applyNumberFormat="1"/>
    <xf numFmtId="1" fontId="9" fillId="0" borderId="1" xfId="0" applyNumberFormat="1" applyFont="1" applyBorder="1" applyAlignment="1">
      <alignment horizontal="center" vertical="top"/>
    </xf>
    <xf numFmtId="1" fontId="9" fillId="0" borderId="1" xfId="0" applyNumberFormat="1" applyFont="1" applyBorder="1" applyAlignment="1">
      <alignment horizontal="center" vertical="top" wrapText="1"/>
    </xf>
    <xf numFmtId="1" fontId="10" fillId="0" borderId="0" xfId="0" applyNumberFormat="1" applyFont="1"/>
    <xf numFmtId="1" fontId="0" fillId="0" borderId="0" xfId="0" applyNumberFormat="1"/>
    <xf numFmtId="0" fontId="8" fillId="0" borderId="0" xfId="0" applyFont="1"/>
    <xf numFmtId="0" fontId="8" fillId="0" borderId="0" xfId="0" applyFont="1" applyAlignment="1">
      <alignment horizontal="left"/>
    </xf>
    <xf numFmtId="1" fontId="12" fillId="0" borderId="0" xfId="0" applyNumberFormat="1" applyFont="1"/>
    <xf numFmtId="0" fontId="0" fillId="0" borderId="0" xfId="0" applyAlignment="1">
      <alignment horizontal="left"/>
    </xf>
    <xf numFmtId="164" fontId="12" fillId="0" borderId="1" xfId="0" applyNumberFormat="1" applyFont="1" applyBorder="1" applyAlignment="1">
      <alignment shrinkToFit="1"/>
    </xf>
    <xf numFmtId="164" fontId="10" fillId="0" borderId="0" xfId="0" applyNumberFormat="1" applyFont="1" applyAlignment="1">
      <alignment shrinkToFit="1"/>
    </xf>
    <xf numFmtId="164" fontId="0" fillId="0" borderId="0" xfId="0" applyNumberFormat="1" applyAlignment="1">
      <alignment shrinkToFit="1"/>
    </xf>
    <xf numFmtId="164" fontId="14" fillId="0" borderId="1" xfId="0" applyNumberFormat="1" applyFont="1" applyBorder="1" applyAlignment="1">
      <alignment horizontal="center" vertical="top" wrapText="1"/>
    </xf>
    <xf numFmtId="164" fontId="12" fillId="0" borderId="0" xfId="0" applyNumberFormat="1" applyFont="1"/>
    <xf numFmtId="164" fontId="0" fillId="0" borderId="0" xfId="0" applyNumberFormat="1"/>
    <xf numFmtId="0" fontId="14" fillId="0" borderId="1" xfId="0" applyFont="1" applyBorder="1" applyAlignment="1">
      <alignment horizontal="center" vertical="top"/>
    </xf>
    <xf numFmtId="0" fontId="13" fillId="0" borderId="0" xfId="0" applyFont="1"/>
    <xf numFmtId="165" fontId="0" fillId="0" borderId="0" xfId="0" applyNumberFormat="1"/>
    <xf numFmtId="0" fontId="16" fillId="0" borderId="0" xfId="0" applyFont="1" applyAlignment="1">
      <alignment horizontal="center"/>
    </xf>
    <xf numFmtId="0" fontId="16" fillId="0" borderId="0" xfId="0" applyFont="1"/>
    <xf numFmtId="165" fontId="13" fillId="0" borderId="0" xfId="0" applyNumberFormat="1" applyFont="1"/>
    <xf numFmtId="0" fontId="13" fillId="0" borderId="0" xfId="0" quotePrefix="1" applyFont="1" applyAlignment="1">
      <alignment vertical="center"/>
    </xf>
    <xf numFmtId="0" fontId="0" fillId="0" borderId="0" xfId="0"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165" fontId="0" fillId="0" borderId="4" xfId="0" applyNumberFormat="1" applyBorder="1"/>
    <xf numFmtId="165" fontId="0" fillId="0" borderId="5" xfId="0" applyNumberFormat="1" applyBorder="1"/>
    <xf numFmtId="165" fontId="0" fillId="0" borderId="6" xfId="0" applyNumberFormat="1" applyBorder="1"/>
    <xf numFmtId="0" fontId="8" fillId="3" borderId="7" xfId="0" applyFont="1" applyFill="1" applyBorder="1" applyAlignment="1">
      <alignment horizontal="left"/>
    </xf>
    <xf numFmtId="0" fontId="8" fillId="3" borderId="8" xfId="0" applyFont="1" applyFill="1" applyBorder="1" applyAlignment="1">
      <alignment horizontal="left"/>
    </xf>
    <xf numFmtId="0" fontId="8" fillId="3" borderId="9" xfId="0" applyFont="1" applyFill="1" applyBorder="1" applyAlignment="1">
      <alignment horizontal="left"/>
    </xf>
    <xf numFmtId="0" fontId="0" fillId="0" borderId="0" xfId="0" pivotButton="1"/>
    <xf numFmtId="22" fontId="0" fillId="0" borderId="0" xfId="0" applyNumberFormat="1"/>
    <xf numFmtId="0" fontId="0" fillId="0" borderId="0" xfId="0" pivotButton="1" applyAlignment="1">
      <alignment horizontal="center" vertical="center"/>
    </xf>
    <xf numFmtId="0" fontId="13" fillId="0" borderId="0" xfId="0" applyFont="1" applyAlignment="1">
      <alignment horizontal="left" vertical="center" wrapText="1"/>
    </xf>
    <xf numFmtId="0" fontId="0" fillId="0" borderId="10" xfId="0" applyBorder="1"/>
    <xf numFmtId="0" fontId="0" fillId="0" borderId="11" xfId="0" applyBorder="1"/>
    <xf numFmtId="0" fontId="0" fillId="0" borderId="13" xfId="0" applyBorder="1"/>
    <xf numFmtId="0" fontId="0" fillId="0" borderId="15" xfId="0" applyBorder="1"/>
    <xf numFmtId="0" fontId="0" fillId="0" borderId="18" xfId="0" applyBorder="1"/>
    <xf numFmtId="0" fontId="0" fillId="0" borderId="8" xfId="0" applyBorder="1"/>
    <xf numFmtId="0" fontId="0" fillId="0" borderId="9" xfId="0" applyBorder="1"/>
    <xf numFmtId="1" fontId="0" fillId="0" borderId="17" xfId="0" applyNumberFormat="1" applyBorder="1"/>
    <xf numFmtId="2" fontId="0" fillId="0" borderId="17" xfId="0" applyNumberFormat="1" applyBorder="1"/>
    <xf numFmtId="2" fontId="0" fillId="0" borderId="5" xfId="0" applyNumberFormat="1" applyBorder="1"/>
    <xf numFmtId="2" fontId="0" fillId="0" borderId="6" xfId="0" applyNumberFormat="1" applyBorder="1"/>
    <xf numFmtId="0" fontId="7" fillId="0" borderId="0" xfId="0" applyFont="1"/>
    <xf numFmtId="0" fontId="13" fillId="4" borderId="2" xfId="0" applyFont="1" applyFill="1" applyBorder="1"/>
    <xf numFmtId="0" fontId="13" fillId="4" borderId="3" xfId="0" applyFont="1" applyFill="1" applyBorder="1"/>
    <xf numFmtId="0" fontId="7" fillId="0" borderId="0" xfId="0" quotePrefix="1" applyFont="1"/>
    <xf numFmtId="1" fontId="0" fillId="0" borderId="19" xfId="0" applyNumberFormat="1" applyBorder="1"/>
    <xf numFmtId="9" fontId="0" fillId="0" borderId="0" xfId="1" applyFont="1"/>
    <xf numFmtId="0" fontId="16" fillId="0" borderId="0" xfId="0" applyFont="1" applyAlignment="1">
      <alignment horizontal="center" vertical="center"/>
    </xf>
    <xf numFmtId="1" fontId="14" fillId="0" borderId="1" xfId="0" applyNumberFormat="1" applyFont="1" applyBorder="1" applyAlignment="1">
      <alignment horizontal="center" vertical="top"/>
    </xf>
    <xf numFmtId="0" fontId="9" fillId="0" borderId="21" xfId="0" applyFont="1" applyBorder="1" applyAlignment="1">
      <alignment horizontal="center" vertical="top"/>
    </xf>
    <xf numFmtId="14" fontId="9" fillId="0" borderId="21" xfId="0" applyNumberFormat="1" applyFont="1" applyBorder="1" applyAlignment="1">
      <alignment horizontal="center" vertical="top"/>
    </xf>
    <xf numFmtId="1" fontId="9" fillId="0" borderId="21" xfId="0" applyNumberFormat="1" applyFont="1" applyBorder="1" applyAlignment="1">
      <alignment horizontal="center" vertical="top"/>
    </xf>
    <xf numFmtId="1" fontId="14" fillId="0" borderId="21" xfId="0" applyNumberFormat="1" applyFont="1" applyBorder="1" applyAlignment="1">
      <alignment horizontal="center" vertical="top"/>
    </xf>
    <xf numFmtId="0" fontId="14" fillId="0" borderId="21" xfId="0" applyFont="1" applyBorder="1" applyAlignment="1">
      <alignment horizontal="center" vertical="top"/>
    </xf>
    <xf numFmtId="9" fontId="0" fillId="0" borderId="0" xfId="1" applyFont="1" applyAlignment="1"/>
    <xf numFmtId="9" fontId="0" fillId="0" borderId="0" xfId="0" applyNumberFormat="1"/>
    <xf numFmtId="14" fontId="17" fillId="0" borderId="0" xfId="0" applyNumberFormat="1" applyFont="1"/>
    <xf numFmtId="0" fontId="17" fillId="0" borderId="24" xfId="0" applyFont="1" applyBorder="1"/>
    <xf numFmtId="0" fontId="17" fillId="0" borderId="25" xfId="0" applyFont="1" applyBorder="1"/>
    <xf numFmtId="0" fontId="7" fillId="4" borderId="2" xfId="0" applyFont="1" applyFill="1" applyBorder="1"/>
    <xf numFmtId="9" fontId="7" fillId="4" borderId="3" xfId="1" applyFont="1" applyFill="1" applyBorder="1"/>
    <xf numFmtId="0" fontId="7" fillId="4" borderId="22" xfId="0" applyFont="1" applyFill="1" applyBorder="1"/>
    <xf numFmtId="9" fontId="0" fillId="0" borderId="12" xfId="1" applyFont="1" applyBorder="1"/>
    <xf numFmtId="0" fontId="0" fillId="0" borderId="26" xfId="0" applyBorder="1"/>
    <xf numFmtId="9" fontId="0" fillId="0" borderId="14" xfId="1" applyFont="1" applyBorder="1"/>
    <xf numFmtId="0" fontId="0" fillId="0" borderId="27" xfId="0" applyBorder="1"/>
    <xf numFmtId="9" fontId="0" fillId="0" borderId="16" xfId="1" applyFont="1" applyBorder="1"/>
    <xf numFmtId="0" fontId="13" fillId="6" borderId="10" xfId="0" applyFont="1" applyFill="1" applyBorder="1"/>
    <xf numFmtId="0" fontId="13" fillId="7" borderId="10" xfId="0" applyFont="1" applyFill="1" applyBorder="1"/>
    <xf numFmtId="0" fontId="0" fillId="0" borderId="10" xfId="0" applyBorder="1" applyAlignment="1">
      <alignment horizontal="left"/>
    </xf>
    <xf numFmtId="1" fontId="0" fillId="0" borderId="10" xfId="0" applyNumberFormat="1" applyBorder="1"/>
    <xf numFmtId="2" fontId="0" fillId="0" borderId="10" xfId="0" applyNumberFormat="1" applyBorder="1"/>
    <xf numFmtId="164" fontId="0" fillId="0" borderId="10" xfId="0" applyNumberFormat="1" applyBorder="1"/>
    <xf numFmtId="0" fontId="6" fillId="0" borderId="0" xfId="0" applyFont="1" applyAlignment="1">
      <alignment horizontal="left" vertical="center" wrapText="1"/>
    </xf>
    <xf numFmtId="0" fontId="6" fillId="0" borderId="0" xfId="0" applyFont="1" applyAlignment="1">
      <alignment horizontal="left"/>
    </xf>
    <xf numFmtId="2" fontId="9" fillId="0" borderId="1" xfId="0" applyNumberFormat="1" applyFont="1" applyBorder="1" applyAlignment="1">
      <alignment horizontal="center" vertical="top" wrapText="1"/>
    </xf>
    <xf numFmtId="2" fontId="12" fillId="0" borderId="0" xfId="0" applyNumberFormat="1" applyFont="1"/>
    <xf numFmtId="0" fontId="13" fillId="0" borderId="0" xfId="0" applyFont="1" applyAlignment="1">
      <alignment horizontal="center" vertical="center"/>
    </xf>
    <xf numFmtId="0" fontId="0" fillId="0" borderId="12" xfId="0" applyBorder="1"/>
    <xf numFmtId="0" fontId="0" fillId="0" borderId="14" xfId="0" applyBorder="1"/>
    <xf numFmtId="0" fontId="0" fillId="0" borderId="16" xfId="0" applyBorder="1"/>
    <xf numFmtId="0" fontId="13" fillId="0" borderId="3" xfId="0" applyFont="1" applyBorder="1" applyAlignment="1">
      <alignment horizontal="center" vertical="center"/>
    </xf>
    <xf numFmtId="0" fontId="9"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0" borderId="1" xfId="0" applyFont="1" applyBorder="1" applyAlignment="1">
      <alignment horizontal="center" vertical="center"/>
    </xf>
    <xf numFmtId="14" fontId="9" fillId="0" borderId="1" xfId="0" applyNumberFormat="1" applyFont="1" applyBorder="1" applyAlignment="1">
      <alignment horizontal="center" vertical="center"/>
    </xf>
    <xf numFmtId="164" fontId="9" fillId="0" borderId="1" xfId="0" applyNumberFormat="1" applyFont="1" applyBorder="1" applyAlignment="1">
      <alignment horizontal="center" vertical="center" shrinkToFit="1"/>
    </xf>
    <xf numFmtId="0" fontId="5" fillId="0" borderId="29" xfId="0" applyFont="1" applyBorder="1"/>
    <xf numFmtId="0" fontId="18" fillId="8" borderId="30" xfId="0" applyFont="1" applyFill="1" applyBorder="1"/>
    <xf numFmtId="0" fontId="18" fillId="8" borderId="31" xfId="0" applyFont="1" applyFill="1" applyBorder="1"/>
    <xf numFmtId="0" fontId="18" fillId="8" borderId="32" xfId="0" applyFont="1" applyFill="1" applyBorder="1"/>
    <xf numFmtId="0" fontId="5" fillId="9" borderId="30" xfId="0" applyFont="1" applyFill="1" applyBorder="1"/>
    <xf numFmtId="22" fontId="5" fillId="9" borderId="31" xfId="0" applyNumberFormat="1" applyFont="1" applyFill="1" applyBorder="1"/>
    <xf numFmtId="0" fontId="5" fillId="9" borderId="31" xfId="0" applyFont="1" applyFill="1" applyBorder="1"/>
    <xf numFmtId="0" fontId="5" fillId="9" borderId="32" xfId="0" applyFont="1" applyFill="1" applyBorder="1"/>
    <xf numFmtId="0" fontId="5" fillId="0" borderId="30" xfId="0" applyFont="1" applyBorder="1"/>
    <xf numFmtId="22" fontId="5" fillId="0" borderId="31" xfId="0" applyNumberFormat="1" applyFont="1" applyBorder="1"/>
    <xf numFmtId="0" fontId="5" fillId="0" borderId="31" xfId="0" applyFont="1" applyBorder="1"/>
    <xf numFmtId="0" fontId="5" fillId="0" borderId="28" xfId="0" applyFont="1" applyBorder="1"/>
    <xf numFmtId="22" fontId="5" fillId="0" borderId="29" xfId="0" applyNumberFormat="1" applyFont="1" applyBorder="1"/>
    <xf numFmtId="166" fontId="0" fillId="0" borderId="0" xfId="0" applyNumberFormat="1"/>
    <xf numFmtId="0" fontId="0" fillId="0" borderId="33" xfId="0" applyBorder="1"/>
    <xf numFmtId="0" fontId="0" fillId="0" borderId="34" xfId="0" applyBorder="1"/>
    <xf numFmtId="0" fontId="0" fillId="0" borderId="35" xfId="0" applyBorder="1"/>
    <xf numFmtId="0" fontId="13" fillId="0" borderId="36" xfId="0" applyFont="1" applyBorder="1" applyAlignment="1">
      <alignment horizontal="center" vertical="center"/>
    </xf>
    <xf numFmtId="0" fontId="13" fillId="0" borderId="37" xfId="0" applyFont="1" applyBorder="1" applyAlignment="1">
      <alignment horizontal="center" vertical="center"/>
    </xf>
    <xf numFmtId="0" fontId="0" fillId="0" borderId="17" xfId="0" applyBorder="1"/>
    <xf numFmtId="0" fontId="0" fillId="0" borderId="5" xfId="0" applyBorder="1"/>
    <xf numFmtId="0" fontId="0" fillId="0" borderId="6" xfId="0" applyBorder="1"/>
    <xf numFmtId="0" fontId="12" fillId="0" borderId="11" xfId="0" applyFont="1" applyBorder="1"/>
    <xf numFmtId="0" fontId="12" fillId="0" borderId="13" xfId="0" applyFont="1" applyBorder="1"/>
    <xf numFmtId="0" fontId="12" fillId="0" borderId="15" xfId="0" applyFont="1" applyBorder="1"/>
    <xf numFmtId="0" fontId="9" fillId="0" borderId="36" xfId="0" applyFont="1" applyBorder="1" applyAlignment="1">
      <alignment horizontal="center" vertical="top"/>
    </xf>
    <xf numFmtId="167" fontId="0" fillId="0" borderId="16" xfId="0" applyNumberFormat="1" applyBorder="1"/>
    <xf numFmtId="167" fontId="0" fillId="0" borderId="12" xfId="0" applyNumberFormat="1" applyBorder="1"/>
    <xf numFmtId="167" fontId="0" fillId="0" borderId="14" xfId="0" applyNumberFormat="1" applyBorder="1"/>
    <xf numFmtId="14" fontId="0" fillId="0" borderId="0" xfId="0" applyNumberFormat="1" applyAlignment="1">
      <alignment horizontal="left"/>
    </xf>
    <xf numFmtId="14" fontId="0" fillId="0" borderId="19" xfId="0" applyNumberFormat="1" applyBorder="1"/>
    <xf numFmtId="1" fontId="0" fillId="0" borderId="38" xfId="0" applyNumberFormat="1" applyBorder="1"/>
    <xf numFmtId="0" fontId="13" fillId="0" borderId="2" xfId="0" applyFont="1" applyBorder="1" applyAlignment="1">
      <alignment horizontal="center"/>
    </xf>
    <xf numFmtId="0" fontId="13" fillId="0" borderId="3" xfId="0" applyFont="1" applyBorder="1"/>
    <xf numFmtId="0" fontId="4" fillId="0" borderId="0" xfId="0" quotePrefix="1" applyFont="1"/>
    <xf numFmtId="0" fontId="13" fillId="0" borderId="0" xfId="0" applyFont="1" applyAlignment="1">
      <alignment vertical="center" wrapText="1"/>
    </xf>
    <xf numFmtId="0" fontId="3" fillId="0" borderId="23" xfId="0" applyFont="1" applyBorder="1"/>
    <xf numFmtId="0" fontId="0" fillId="0" borderId="23" xfId="0" applyBorder="1"/>
    <xf numFmtId="0" fontId="0" fillId="0" borderId="3" xfId="0" applyBorder="1"/>
    <xf numFmtId="0" fontId="0" fillId="0" borderId="2" xfId="0" applyBorder="1" applyAlignment="1">
      <alignment horizontal="center"/>
    </xf>
    <xf numFmtId="0" fontId="3" fillId="0" borderId="0" xfId="0" quotePrefix="1" applyFont="1"/>
    <xf numFmtId="0" fontId="9" fillId="0" borderId="22" xfId="0" applyFont="1" applyBorder="1" applyAlignment="1">
      <alignment horizontal="center" vertical="top"/>
    </xf>
    <xf numFmtId="0" fontId="12" fillId="0" borderId="39" xfId="0" applyFont="1" applyBorder="1"/>
    <xf numFmtId="0" fontId="12" fillId="0" borderId="40" xfId="0" applyFont="1" applyBorder="1"/>
    <xf numFmtId="2" fontId="0" fillId="0" borderId="16" xfId="0" applyNumberFormat="1" applyBorder="1"/>
    <xf numFmtId="2" fontId="0" fillId="0" borderId="12" xfId="0" applyNumberFormat="1" applyBorder="1"/>
    <xf numFmtId="2" fontId="0" fillId="0" borderId="14" xfId="0" applyNumberFormat="1" applyBorder="1"/>
    <xf numFmtId="0" fontId="17" fillId="0" borderId="41" xfId="0" applyFont="1" applyBorder="1"/>
    <xf numFmtId="0" fontId="2" fillId="0" borderId="2" xfId="0" applyFont="1" applyBorder="1"/>
    <xf numFmtId="0" fontId="17" fillId="0" borderId="40" xfId="0" applyFont="1" applyBorder="1"/>
    <xf numFmtId="0" fontId="1" fillId="0" borderId="0" xfId="0" applyFont="1" applyAlignment="1">
      <alignment wrapText="1"/>
    </xf>
    <xf numFmtId="0" fontId="8" fillId="0" borderId="0" xfId="0" applyFont="1" applyAlignment="1">
      <alignment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0" fillId="0" borderId="0" xfId="0" quotePrefix="1"/>
    <xf numFmtId="0" fontId="19" fillId="0" borderId="0" xfId="0" applyFont="1" applyAlignment="1">
      <alignment horizontal="center" vertical="center" wrapText="1"/>
    </xf>
    <xf numFmtId="0" fontId="8" fillId="0" borderId="0" xfId="0" applyFont="1" applyAlignment="1">
      <alignment horizontal="left" vertical="center" wrapText="1"/>
    </xf>
    <xf numFmtId="0" fontId="13" fillId="0" borderId="0" xfId="0" applyFont="1" applyAlignment="1">
      <alignment horizontal="left" vertical="center" wrapText="1"/>
    </xf>
    <xf numFmtId="0" fontId="13" fillId="0" borderId="0" xfId="0" quotePrefix="1" applyFont="1" applyAlignment="1">
      <alignment horizontal="left"/>
    </xf>
    <xf numFmtId="0" fontId="7" fillId="0" borderId="20" xfId="0" applyFont="1" applyBorder="1" applyAlignment="1">
      <alignment horizontal="left" vertical="center" wrapText="1"/>
    </xf>
    <xf numFmtId="0" fontId="19" fillId="0" borderId="0" xfId="0" applyFont="1" applyAlignment="1">
      <alignment horizontal="center" vertical="center"/>
    </xf>
    <xf numFmtId="0" fontId="7" fillId="5" borderId="22" xfId="0" applyFont="1" applyFill="1" applyBorder="1" applyAlignment="1">
      <alignment horizontal="center" vertical="center"/>
    </xf>
    <xf numFmtId="0" fontId="7" fillId="5" borderId="23" xfId="0" applyFont="1" applyFill="1" applyBorder="1" applyAlignment="1">
      <alignment horizontal="center" vertical="center"/>
    </xf>
    <xf numFmtId="0" fontId="7" fillId="5" borderId="3" xfId="0" applyFont="1" applyFill="1" applyBorder="1" applyAlignment="1">
      <alignment horizontal="center" vertical="center"/>
    </xf>
    <xf numFmtId="0" fontId="7" fillId="0" borderId="0" xfId="0" quotePrefix="1" applyFont="1" applyAlignment="1">
      <alignment horizontal="left" vertical="center"/>
    </xf>
    <xf numFmtId="0" fontId="6" fillId="0" borderId="0" xfId="0" quotePrefix="1" applyFont="1" applyAlignment="1">
      <alignment horizontal="center"/>
    </xf>
    <xf numFmtId="0" fontId="6" fillId="0" borderId="0" xfId="0" applyFont="1" applyAlignment="1">
      <alignment horizontal="left" vertical="center" wrapText="1"/>
    </xf>
    <xf numFmtId="0" fontId="13" fillId="0" borderId="0" xfId="0" applyFont="1" applyAlignment="1">
      <alignment horizontal="center"/>
    </xf>
    <xf numFmtId="0" fontId="5" fillId="0" borderId="0" xfId="0" quotePrefix="1" applyFont="1" applyAlignment="1">
      <alignment horizontal="left"/>
    </xf>
    <xf numFmtId="0" fontId="5" fillId="0" borderId="0" xfId="0" quotePrefix="1" applyFont="1" applyAlignment="1">
      <alignment horizontal="left" vertical="center"/>
    </xf>
  </cellXfs>
  <cellStyles count="2">
    <cellStyle name="Normal" xfId="0" builtinId="0"/>
    <cellStyle name="Percent" xfId="1" builtinId="5"/>
  </cellStyles>
  <dxfs count="44">
    <dxf>
      <font>
        <b/>
        <i val="0"/>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3" formatCode="0%"/>
    </dxf>
    <dxf>
      <numFmt numFmtId="2" formatCode="0.00"/>
    </dxf>
    <dxf>
      <fill>
        <patternFill>
          <bgColor rgb="FF92D050"/>
        </patternFill>
      </fill>
    </dxf>
    <dxf>
      <alignment vertical="center"/>
    </dxf>
    <dxf>
      <alignment vertical="center"/>
    </dxf>
    <dxf>
      <alignment horizontal="center"/>
    </dxf>
    <dxf>
      <alignment horizontal="center"/>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dd/mm/yyyy\ hh:mm"/>
    </dxf>
    <dxf>
      <numFmt numFmtId="0" formatCode="General"/>
    </dxf>
    <dxf>
      <numFmt numFmtId="0" formatCode="General"/>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border outline="0">
        <top style="thin">
          <color rgb="FF000000"/>
        </top>
      </border>
    </dxf>
    <dxf>
      <font>
        <b val="0"/>
        <i val="0"/>
        <strike val="0"/>
        <condense val="0"/>
        <extend val="0"/>
        <outline val="0"/>
        <shadow val="0"/>
        <u val="none"/>
        <vertAlign val="baseline"/>
        <sz val="11"/>
        <color theme="1"/>
        <name val="Calibri"/>
        <scheme val="minor"/>
      </font>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sharedStrings" Target="sharedStrings.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'Task 3'!$F$15</c:f>
              <c:strCache>
                <c:ptCount val="1"/>
                <c:pt idx="0">
                  <c:v>Instagram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'Task 3'!$I$15</c:f>
              <c:numCache>
                <c:formatCode>0%</c:formatCode>
                <c:ptCount val="1"/>
                <c:pt idx="0">
                  <c:v>0.36100777717069088</c:v>
                </c:pt>
              </c:numCache>
            </c:numRef>
          </c:val>
          <c:extLst>
            <c:ext xmlns:c16="http://schemas.microsoft.com/office/drawing/2014/chart" uri="{C3380CC4-5D6E-409C-BE32-E72D297353CC}">
              <c16:uniqueId val="{00000000-CCD9-4905-BADA-9E81788CDFD9}"/>
            </c:ext>
          </c:extLst>
        </c:ser>
        <c:ser>
          <c:idx val="1"/>
          <c:order val="1"/>
          <c:tx>
            <c:strRef>
              <c:f>'Task 3'!$F$16</c:f>
              <c:strCache>
                <c:ptCount val="1"/>
                <c:pt idx="0">
                  <c:v>Facebook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'Task 3'!$I$16</c:f>
              <c:numCache>
                <c:formatCode>0%</c:formatCode>
                <c:ptCount val="1"/>
                <c:pt idx="0">
                  <c:v>7.5530079242275052</c:v>
                </c:pt>
              </c:numCache>
            </c:numRef>
          </c:val>
          <c:extLst>
            <c:ext xmlns:c16="http://schemas.microsoft.com/office/drawing/2014/chart" uri="{C3380CC4-5D6E-409C-BE32-E72D297353CC}">
              <c16:uniqueId val="{00000001-CCD9-4905-BADA-9E81788CDFD9}"/>
            </c:ext>
          </c:extLst>
        </c:ser>
        <c:ser>
          <c:idx val="2"/>
          <c:order val="2"/>
          <c:tx>
            <c:strRef>
              <c:f>'Task 3'!$F$17</c:f>
              <c:strCache>
                <c:ptCount val="1"/>
                <c:pt idx="0">
                  <c:v>Twitter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'Task 3'!$I$17</c:f>
              <c:numCache>
                <c:formatCode>0%</c:formatCode>
                <c:ptCount val="1"/>
                <c:pt idx="0">
                  <c:v>2.1075772641213888</c:v>
                </c:pt>
              </c:numCache>
            </c:numRef>
          </c:val>
          <c:extLst>
            <c:ext xmlns:c16="http://schemas.microsoft.com/office/drawing/2014/chart" uri="{C3380CC4-5D6E-409C-BE32-E72D297353CC}">
              <c16:uniqueId val="{00000002-CCD9-4905-BADA-9E81788CDFD9}"/>
            </c:ext>
          </c:extLst>
        </c:ser>
        <c:ser>
          <c:idx val="3"/>
          <c:order val="3"/>
          <c:tx>
            <c:strRef>
              <c:f>'Task 3'!$F$18</c:f>
              <c:strCache>
                <c:ptCount val="1"/>
                <c:pt idx="0">
                  <c:v>YouTube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'Task 3'!$I$18</c:f>
              <c:numCache>
                <c:formatCode>0%</c:formatCode>
                <c:ptCount val="1"/>
                <c:pt idx="0">
                  <c:v>-0.79127563609886331</c:v>
                </c:pt>
              </c:numCache>
            </c:numRef>
          </c:val>
          <c:extLst>
            <c:ext xmlns:c16="http://schemas.microsoft.com/office/drawing/2014/chart" uri="{C3380CC4-5D6E-409C-BE32-E72D297353CC}">
              <c16:uniqueId val="{00000003-CCD9-4905-BADA-9E81788CDFD9}"/>
            </c:ext>
          </c:extLst>
        </c:ser>
        <c:dLbls>
          <c:dLblPos val="outEnd"/>
          <c:showLegendKey val="0"/>
          <c:showVal val="1"/>
          <c:showCatName val="0"/>
          <c:showSerName val="0"/>
          <c:showPercent val="0"/>
          <c:showBubbleSize val="0"/>
        </c:dLbls>
        <c:gapWidth val="100"/>
        <c:overlap val="-24"/>
        <c:axId val="776434920"/>
        <c:axId val="776432760"/>
      </c:barChart>
      <c:catAx>
        <c:axId val="7764349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Platform</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432760"/>
        <c:crosses val="autoZero"/>
        <c:auto val="1"/>
        <c:lblAlgn val="ctr"/>
        <c:lblOffset val="100"/>
        <c:noMultiLvlLbl val="0"/>
      </c:catAx>
      <c:valAx>
        <c:axId val="7764327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Growth</a:t>
                </a:r>
                <a:r>
                  <a:rPr lang="en-US" baseline="0"/>
                  <a:t> Rate</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434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Engagement by Ad</a:t>
            </a:r>
            <a:r>
              <a:rPr lang="en-US" baseline="0"/>
              <a:t> Spend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[1]ad_spend_vis!$A$2</c:f>
              <c:strCache>
                <c:ptCount val="1"/>
                <c:pt idx="0">
                  <c:v>Facebook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[1]ad_spend_vis!$D$1</c:f>
              <c:strCache>
                <c:ptCount val="1"/>
                <c:pt idx="0">
                  <c:v>Engagement_per_Rupee</c:v>
                </c:pt>
              </c:strCache>
            </c:strRef>
          </c:cat>
          <c:val>
            <c:numRef>
              <c:f>[1]ad_spend_vis!$D$2</c:f>
              <c:numCache>
                <c:formatCode>General</c:formatCode>
                <c:ptCount val="1"/>
                <c:pt idx="0">
                  <c:v>0.22126376999852848</c:v>
                </c:pt>
              </c:numCache>
            </c:numRef>
          </c:val>
          <c:extLst>
            <c:ext xmlns:c16="http://schemas.microsoft.com/office/drawing/2014/chart" uri="{C3380CC4-5D6E-409C-BE32-E72D297353CC}">
              <c16:uniqueId val="{00000000-5838-4E0C-8206-782AFC6C11A9}"/>
            </c:ext>
          </c:extLst>
        </c:ser>
        <c:ser>
          <c:idx val="1"/>
          <c:order val="1"/>
          <c:tx>
            <c:strRef>
              <c:f>[1]ad_spend_vis!$A$3</c:f>
              <c:strCache>
                <c:ptCount val="1"/>
                <c:pt idx="0">
                  <c:v>Instagram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[1]ad_spend_vis!$D$1</c:f>
              <c:strCache>
                <c:ptCount val="1"/>
                <c:pt idx="0">
                  <c:v>Engagement_per_Rupee</c:v>
                </c:pt>
              </c:strCache>
            </c:strRef>
          </c:cat>
          <c:val>
            <c:numRef>
              <c:f>[1]ad_spend_vis!$D$3</c:f>
              <c:numCache>
                <c:formatCode>General</c:formatCode>
                <c:ptCount val="1"/>
                <c:pt idx="0">
                  <c:v>0.22636990036697863</c:v>
                </c:pt>
              </c:numCache>
            </c:numRef>
          </c:val>
          <c:extLst>
            <c:ext xmlns:c16="http://schemas.microsoft.com/office/drawing/2014/chart" uri="{C3380CC4-5D6E-409C-BE32-E72D297353CC}">
              <c16:uniqueId val="{00000001-5838-4E0C-8206-782AFC6C11A9}"/>
            </c:ext>
          </c:extLst>
        </c:ser>
        <c:ser>
          <c:idx val="2"/>
          <c:order val="2"/>
          <c:tx>
            <c:strRef>
              <c:f>[1]ad_spend_vis!$A$4</c:f>
              <c:strCache>
                <c:ptCount val="1"/>
                <c:pt idx="0">
                  <c:v>Twitter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[1]ad_spend_vis!$D$1</c:f>
              <c:strCache>
                <c:ptCount val="1"/>
                <c:pt idx="0">
                  <c:v>Engagement_per_Rupee</c:v>
                </c:pt>
              </c:strCache>
            </c:strRef>
          </c:cat>
          <c:val>
            <c:numRef>
              <c:f>[1]ad_spend_vis!$D$4</c:f>
              <c:numCache>
                <c:formatCode>General</c:formatCode>
                <c:ptCount val="1"/>
                <c:pt idx="0">
                  <c:v>0.24143283818562994</c:v>
                </c:pt>
              </c:numCache>
            </c:numRef>
          </c:val>
          <c:extLst>
            <c:ext xmlns:c16="http://schemas.microsoft.com/office/drawing/2014/chart" uri="{C3380CC4-5D6E-409C-BE32-E72D297353CC}">
              <c16:uniqueId val="{00000002-5838-4E0C-8206-782AFC6C11A9}"/>
            </c:ext>
          </c:extLst>
        </c:ser>
        <c:ser>
          <c:idx val="3"/>
          <c:order val="3"/>
          <c:tx>
            <c:strRef>
              <c:f>[1]ad_spend_vis!$A$5</c:f>
              <c:strCache>
                <c:ptCount val="1"/>
                <c:pt idx="0">
                  <c:v>YouTube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[1]ad_spend_vis!$D$1</c:f>
              <c:strCache>
                <c:ptCount val="1"/>
                <c:pt idx="0">
                  <c:v>Engagement_per_Rupee</c:v>
                </c:pt>
              </c:strCache>
            </c:strRef>
          </c:cat>
          <c:val>
            <c:numRef>
              <c:f>[1]ad_spend_vis!$D$5</c:f>
              <c:numCache>
                <c:formatCode>General</c:formatCode>
                <c:ptCount val="1"/>
                <c:pt idx="0">
                  <c:v>0.17331340897751754</c:v>
                </c:pt>
              </c:numCache>
            </c:numRef>
          </c:val>
          <c:extLst>
            <c:ext xmlns:c16="http://schemas.microsoft.com/office/drawing/2014/chart" uri="{C3380CC4-5D6E-409C-BE32-E72D297353CC}">
              <c16:uniqueId val="{00000003-5838-4E0C-8206-782AFC6C11A9}"/>
            </c:ext>
          </c:extLst>
        </c:ser>
        <c:dLbls>
          <c:dLblPos val="outEnd"/>
          <c:showLegendKey val="0"/>
          <c:showVal val="1"/>
          <c:showCatName val="0"/>
          <c:showSerName val="0"/>
          <c:showPercent val="0"/>
          <c:showBubbleSize val="0"/>
        </c:dLbls>
        <c:gapWidth val="100"/>
        <c:overlap val="-24"/>
        <c:axId val="628335856"/>
        <c:axId val="628339816"/>
      </c:barChart>
      <c:catAx>
        <c:axId val="628335856"/>
        <c:scaling>
          <c:orientation val="minMax"/>
        </c:scaling>
        <c:delete val="1"/>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Platform</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crossAx val="628339816"/>
        <c:crosses val="autoZero"/>
        <c:auto val="1"/>
        <c:lblAlgn val="ctr"/>
        <c:lblOffset val="100"/>
        <c:noMultiLvlLbl val="0"/>
      </c:catAx>
      <c:valAx>
        <c:axId val="6283398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Engagement_Per_Rupee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335856"/>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innerShdw blurRad="63500" dist="50800" dir="13500000">
        <a:schemeClr val="accent2">
          <a:lumMod val="20000"/>
          <a:lumOff val="80000"/>
          <a:alpha val="50000"/>
        </a:schemeClr>
      </a:inn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[Social_Media_Analytics.xlsx]Task 6!PivotTable1</c:name>
    <c:fmtId val="4"/>
  </c:pivotSource>
  <c:chart>
    <c:autoTitleDeleted val="1"/>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6'!$D$4:$D$5</c:f>
              <c:strCache>
                <c:ptCount val="1"/>
                <c:pt idx="0">
                  <c:v>Facebook</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'Task 6'!$C$6:$C$55</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 6'!$D$6:$D$55</c:f>
              <c:numCache>
                <c:formatCode>0</c:formatCode>
                <c:ptCount val="50"/>
                <c:pt idx="0">
                  <c:v>1002</c:v>
                </c:pt>
                <c:pt idx="1">
                  <c:v>1283</c:v>
                </c:pt>
                <c:pt idx="2">
                  <c:v>1382</c:v>
                </c:pt>
                <c:pt idx="3">
                  <c:v>1670</c:v>
                </c:pt>
                <c:pt idx="4">
                  <c:v>64</c:v>
                </c:pt>
                <c:pt idx="5">
                  <c:v>309</c:v>
                </c:pt>
                <c:pt idx="6">
                  <c:v>-164</c:v>
                </c:pt>
                <c:pt idx="7">
                  <c:v>961</c:v>
                </c:pt>
                <c:pt idx="8">
                  <c:v>-318</c:v>
                </c:pt>
                <c:pt idx="9">
                  <c:v>-197</c:v>
                </c:pt>
                <c:pt idx="10">
                  <c:v>1334</c:v>
                </c:pt>
                <c:pt idx="11">
                  <c:v>1058</c:v>
                </c:pt>
                <c:pt idx="12">
                  <c:v>37</c:v>
                </c:pt>
                <c:pt idx="13">
                  <c:v>1045</c:v>
                </c:pt>
                <c:pt idx="14">
                  <c:v>1428</c:v>
                </c:pt>
                <c:pt idx="15">
                  <c:v>98</c:v>
                </c:pt>
                <c:pt idx="16">
                  <c:v>-19</c:v>
                </c:pt>
                <c:pt idx="17">
                  <c:v>-179</c:v>
                </c:pt>
                <c:pt idx="18">
                  <c:v>1662</c:v>
                </c:pt>
                <c:pt idx="19">
                  <c:v>285</c:v>
                </c:pt>
                <c:pt idx="20">
                  <c:v>439</c:v>
                </c:pt>
                <c:pt idx="21">
                  <c:v>386</c:v>
                </c:pt>
                <c:pt idx="22">
                  <c:v>540</c:v>
                </c:pt>
                <c:pt idx="23">
                  <c:v>-106</c:v>
                </c:pt>
                <c:pt idx="24">
                  <c:v>72</c:v>
                </c:pt>
                <c:pt idx="25">
                  <c:v>1332</c:v>
                </c:pt>
                <c:pt idx="26">
                  <c:v>1706</c:v>
                </c:pt>
                <c:pt idx="27">
                  <c:v>1373</c:v>
                </c:pt>
                <c:pt idx="28">
                  <c:v>1377</c:v>
                </c:pt>
                <c:pt idx="29">
                  <c:v>730</c:v>
                </c:pt>
                <c:pt idx="30">
                  <c:v>1776</c:v>
                </c:pt>
                <c:pt idx="31">
                  <c:v>620</c:v>
                </c:pt>
                <c:pt idx="32">
                  <c:v>298</c:v>
                </c:pt>
                <c:pt idx="33">
                  <c:v>427</c:v>
                </c:pt>
                <c:pt idx="34">
                  <c:v>898</c:v>
                </c:pt>
                <c:pt idx="35">
                  <c:v>748</c:v>
                </c:pt>
                <c:pt idx="36">
                  <c:v>912</c:v>
                </c:pt>
                <c:pt idx="37">
                  <c:v>1590</c:v>
                </c:pt>
                <c:pt idx="38">
                  <c:v>1707</c:v>
                </c:pt>
                <c:pt idx="39">
                  <c:v>-119</c:v>
                </c:pt>
                <c:pt idx="40">
                  <c:v>908</c:v>
                </c:pt>
                <c:pt idx="41">
                  <c:v>1116</c:v>
                </c:pt>
                <c:pt idx="42">
                  <c:v>474</c:v>
                </c:pt>
                <c:pt idx="43">
                  <c:v>514</c:v>
                </c:pt>
                <c:pt idx="44">
                  <c:v>1029</c:v>
                </c:pt>
                <c:pt idx="45">
                  <c:v>-175</c:v>
                </c:pt>
                <c:pt idx="46">
                  <c:v>1045</c:v>
                </c:pt>
                <c:pt idx="47">
                  <c:v>453</c:v>
                </c:pt>
                <c:pt idx="48">
                  <c:v>339</c:v>
                </c:pt>
                <c:pt idx="49">
                  <c:v>407</c:v>
                </c:pt>
              </c:numCache>
            </c:numRef>
          </c:val>
          <c:smooth val="0"/>
          <c:extLst>
            <c:ext xmlns:c16="http://schemas.microsoft.com/office/drawing/2014/chart" uri="{C3380CC4-5D6E-409C-BE32-E72D297353CC}">
              <c16:uniqueId val="{00000000-024C-44BC-AE53-952E486E247F}"/>
            </c:ext>
          </c:extLst>
        </c:ser>
        <c:ser>
          <c:idx val="1"/>
          <c:order val="1"/>
          <c:tx>
            <c:strRef>
              <c:f>'Task 6'!$E$4:$E$5</c:f>
              <c:strCache>
                <c:ptCount val="1"/>
                <c:pt idx="0">
                  <c:v>Instagram</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'Task 6'!$C$6:$C$55</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 6'!$E$6:$E$55</c:f>
              <c:numCache>
                <c:formatCode>0</c:formatCode>
                <c:ptCount val="50"/>
                <c:pt idx="0">
                  <c:v>1047</c:v>
                </c:pt>
                <c:pt idx="1">
                  <c:v>517</c:v>
                </c:pt>
                <c:pt idx="2">
                  <c:v>893</c:v>
                </c:pt>
                <c:pt idx="3">
                  <c:v>629</c:v>
                </c:pt>
                <c:pt idx="4">
                  <c:v>-219</c:v>
                </c:pt>
                <c:pt idx="5">
                  <c:v>1672</c:v>
                </c:pt>
                <c:pt idx="6">
                  <c:v>1845</c:v>
                </c:pt>
                <c:pt idx="7">
                  <c:v>159</c:v>
                </c:pt>
                <c:pt idx="8">
                  <c:v>541</c:v>
                </c:pt>
                <c:pt idx="9">
                  <c:v>352</c:v>
                </c:pt>
                <c:pt idx="10">
                  <c:v>1325</c:v>
                </c:pt>
                <c:pt idx="11">
                  <c:v>76</c:v>
                </c:pt>
                <c:pt idx="12">
                  <c:v>1609</c:v>
                </c:pt>
                <c:pt idx="13">
                  <c:v>1247</c:v>
                </c:pt>
                <c:pt idx="14">
                  <c:v>1572</c:v>
                </c:pt>
                <c:pt idx="15">
                  <c:v>377</c:v>
                </c:pt>
                <c:pt idx="16">
                  <c:v>666</c:v>
                </c:pt>
                <c:pt idx="17">
                  <c:v>1025</c:v>
                </c:pt>
                <c:pt idx="18">
                  <c:v>1872</c:v>
                </c:pt>
                <c:pt idx="19">
                  <c:v>1224</c:v>
                </c:pt>
                <c:pt idx="20">
                  <c:v>262</c:v>
                </c:pt>
                <c:pt idx="21">
                  <c:v>576</c:v>
                </c:pt>
                <c:pt idx="22">
                  <c:v>1397</c:v>
                </c:pt>
                <c:pt idx="23">
                  <c:v>902</c:v>
                </c:pt>
                <c:pt idx="24">
                  <c:v>-49</c:v>
                </c:pt>
                <c:pt idx="25">
                  <c:v>1693</c:v>
                </c:pt>
                <c:pt idx="26">
                  <c:v>1625</c:v>
                </c:pt>
                <c:pt idx="27">
                  <c:v>1119</c:v>
                </c:pt>
                <c:pt idx="28">
                  <c:v>1432</c:v>
                </c:pt>
                <c:pt idx="29">
                  <c:v>684</c:v>
                </c:pt>
                <c:pt idx="30">
                  <c:v>1765</c:v>
                </c:pt>
                <c:pt idx="31">
                  <c:v>903</c:v>
                </c:pt>
                <c:pt idx="32">
                  <c:v>1722</c:v>
                </c:pt>
                <c:pt idx="33">
                  <c:v>1572</c:v>
                </c:pt>
                <c:pt idx="34">
                  <c:v>-166</c:v>
                </c:pt>
                <c:pt idx="35">
                  <c:v>1080</c:v>
                </c:pt>
                <c:pt idx="36">
                  <c:v>1723</c:v>
                </c:pt>
                <c:pt idx="37">
                  <c:v>965</c:v>
                </c:pt>
                <c:pt idx="38">
                  <c:v>1375</c:v>
                </c:pt>
                <c:pt idx="39">
                  <c:v>1315</c:v>
                </c:pt>
                <c:pt idx="40">
                  <c:v>212</c:v>
                </c:pt>
                <c:pt idx="41">
                  <c:v>680</c:v>
                </c:pt>
                <c:pt idx="42">
                  <c:v>461</c:v>
                </c:pt>
                <c:pt idx="43">
                  <c:v>641</c:v>
                </c:pt>
                <c:pt idx="44">
                  <c:v>167</c:v>
                </c:pt>
                <c:pt idx="45">
                  <c:v>-160</c:v>
                </c:pt>
                <c:pt idx="46">
                  <c:v>603</c:v>
                </c:pt>
                <c:pt idx="47">
                  <c:v>1539</c:v>
                </c:pt>
                <c:pt idx="48">
                  <c:v>1881</c:v>
                </c:pt>
                <c:pt idx="49">
                  <c:v>1656</c:v>
                </c:pt>
              </c:numCache>
            </c:numRef>
          </c:val>
          <c:smooth val="0"/>
          <c:extLst>
            <c:ext xmlns:c16="http://schemas.microsoft.com/office/drawing/2014/chart" uri="{C3380CC4-5D6E-409C-BE32-E72D297353CC}">
              <c16:uniqueId val="{00000005-024C-44BC-AE53-952E486E247F}"/>
            </c:ext>
          </c:extLst>
        </c:ser>
        <c:ser>
          <c:idx val="2"/>
          <c:order val="2"/>
          <c:tx>
            <c:strRef>
              <c:f>'Task 6'!$F$4:$F$5</c:f>
              <c:strCache>
                <c:ptCount val="1"/>
                <c:pt idx="0">
                  <c:v>Twitter</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'Task 6'!$C$6:$C$55</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 6'!$F$6:$F$55</c:f>
              <c:numCache>
                <c:formatCode>0</c:formatCode>
                <c:ptCount val="50"/>
                <c:pt idx="0">
                  <c:v>415</c:v>
                </c:pt>
                <c:pt idx="1">
                  <c:v>186</c:v>
                </c:pt>
                <c:pt idx="2">
                  <c:v>1295</c:v>
                </c:pt>
                <c:pt idx="3">
                  <c:v>835</c:v>
                </c:pt>
                <c:pt idx="4">
                  <c:v>1357</c:v>
                </c:pt>
                <c:pt idx="5">
                  <c:v>547</c:v>
                </c:pt>
                <c:pt idx="6">
                  <c:v>429</c:v>
                </c:pt>
                <c:pt idx="7">
                  <c:v>1316</c:v>
                </c:pt>
                <c:pt idx="8">
                  <c:v>1495</c:v>
                </c:pt>
                <c:pt idx="9">
                  <c:v>328</c:v>
                </c:pt>
                <c:pt idx="10">
                  <c:v>37</c:v>
                </c:pt>
                <c:pt idx="11">
                  <c:v>1665</c:v>
                </c:pt>
                <c:pt idx="12">
                  <c:v>1229</c:v>
                </c:pt>
                <c:pt idx="13">
                  <c:v>197</c:v>
                </c:pt>
                <c:pt idx="14">
                  <c:v>260</c:v>
                </c:pt>
                <c:pt idx="15">
                  <c:v>1125</c:v>
                </c:pt>
                <c:pt idx="16">
                  <c:v>1680</c:v>
                </c:pt>
                <c:pt idx="17">
                  <c:v>599</c:v>
                </c:pt>
                <c:pt idx="18">
                  <c:v>107</c:v>
                </c:pt>
                <c:pt idx="19">
                  <c:v>-20</c:v>
                </c:pt>
                <c:pt idx="20">
                  <c:v>636</c:v>
                </c:pt>
                <c:pt idx="21">
                  <c:v>37</c:v>
                </c:pt>
                <c:pt idx="22">
                  <c:v>1603</c:v>
                </c:pt>
                <c:pt idx="23">
                  <c:v>1150</c:v>
                </c:pt>
                <c:pt idx="24">
                  <c:v>445</c:v>
                </c:pt>
                <c:pt idx="25">
                  <c:v>98</c:v>
                </c:pt>
                <c:pt idx="26">
                  <c:v>1173</c:v>
                </c:pt>
                <c:pt idx="27">
                  <c:v>1727</c:v>
                </c:pt>
                <c:pt idx="28">
                  <c:v>1359</c:v>
                </c:pt>
                <c:pt idx="29">
                  <c:v>911</c:v>
                </c:pt>
                <c:pt idx="30">
                  <c:v>1529</c:v>
                </c:pt>
                <c:pt idx="31">
                  <c:v>1188</c:v>
                </c:pt>
                <c:pt idx="32">
                  <c:v>-144</c:v>
                </c:pt>
                <c:pt idx="33">
                  <c:v>891</c:v>
                </c:pt>
                <c:pt idx="34">
                  <c:v>1426</c:v>
                </c:pt>
                <c:pt idx="35">
                  <c:v>569</c:v>
                </c:pt>
                <c:pt idx="36">
                  <c:v>1202</c:v>
                </c:pt>
                <c:pt idx="37">
                  <c:v>-37</c:v>
                </c:pt>
                <c:pt idx="38">
                  <c:v>708</c:v>
                </c:pt>
                <c:pt idx="39">
                  <c:v>899</c:v>
                </c:pt>
                <c:pt idx="40">
                  <c:v>1350</c:v>
                </c:pt>
                <c:pt idx="41">
                  <c:v>861</c:v>
                </c:pt>
                <c:pt idx="42">
                  <c:v>292</c:v>
                </c:pt>
                <c:pt idx="43">
                  <c:v>1676</c:v>
                </c:pt>
                <c:pt idx="44">
                  <c:v>1007</c:v>
                </c:pt>
                <c:pt idx="45">
                  <c:v>53</c:v>
                </c:pt>
                <c:pt idx="46">
                  <c:v>759</c:v>
                </c:pt>
                <c:pt idx="47">
                  <c:v>948</c:v>
                </c:pt>
                <c:pt idx="48">
                  <c:v>1510</c:v>
                </c:pt>
                <c:pt idx="49">
                  <c:v>269</c:v>
                </c:pt>
              </c:numCache>
            </c:numRef>
          </c:val>
          <c:smooth val="0"/>
          <c:extLst>
            <c:ext xmlns:c16="http://schemas.microsoft.com/office/drawing/2014/chart" uri="{C3380CC4-5D6E-409C-BE32-E72D297353CC}">
              <c16:uniqueId val="{00000006-024C-44BC-AE53-952E486E247F}"/>
            </c:ext>
          </c:extLst>
        </c:ser>
        <c:ser>
          <c:idx val="3"/>
          <c:order val="3"/>
          <c:tx>
            <c:strRef>
              <c:f>'Task 6'!$G$4:$G$5</c:f>
              <c:strCache>
                <c:ptCount val="1"/>
                <c:pt idx="0">
                  <c:v>YouTube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'Task 6'!$C$6:$C$55</c:f>
              <c:strCache>
                <c:ptCount val="50"/>
                <c:pt idx="0">
                  <c:v>6/3/2024</c:v>
                </c:pt>
                <c:pt idx="1">
                  <c:v>6/10/2024</c:v>
                </c:pt>
                <c:pt idx="2">
                  <c:v>6/17/2024</c:v>
                </c:pt>
                <c:pt idx="3">
                  <c:v>6/24/2024</c:v>
                </c:pt>
                <c:pt idx="4">
                  <c:v>7/1/2024</c:v>
                </c:pt>
                <c:pt idx="5">
                  <c:v>7/8/2024</c:v>
                </c:pt>
                <c:pt idx="6">
                  <c:v>7/15/2024</c:v>
                </c:pt>
                <c:pt idx="7">
                  <c:v>7/22/2024</c:v>
                </c:pt>
                <c:pt idx="8">
                  <c:v>7/29/2024</c:v>
                </c:pt>
                <c:pt idx="9">
                  <c:v>8/5/2024</c:v>
                </c:pt>
                <c:pt idx="10">
                  <c:v>8/12/2024</c:v>
                </c:pt>
                <c:pt idx="11">
                  <c:v>8/19/2024</c:v>
                </c:pt>
                <c:pt idx="12">
                  <c:v>8/26/2024</c:v>
                </c:pt>
                <c:pt idx="13">
                  <c:v>9/2/2024</c:v>
                </c:pt>
                <c:pt idx="14">
                  <c:v>9/9/2024</c:v>
                </c:pt>
                <c:pt idx="15">
                  <c:v>9/16/2024</c:v>
                </c:pt>
                <c:pt idx="16">
                  <c:v>9/23/2024</c:v>
                </c:pt>
                <c:pt idx="17">
                  <c:v>9/30/2024</c:v>
                </c:pt>
                <c:pt idx="18">
                  <c:v>10/7/2024</c:v>
                </c:pt>
                <c:pt idx="19">
                  <c:v>10/14/2024</c:v>
                </c:pt>
                <c:pt idx="20">
                  <c:v>10/21/2024</c:v>
                </c:pt>
                <c:pt idx="21">
                  <c:v>10/28/2024</c:v>
                </c:pt>
                <c:pt idx="22">
                  <c:v>11/4/2024</c:v>
                </c:pt>
                <c:pt idx="23">
                  <c:v>11/11/2024</c:v>
                </c:pt>
                <c:pt idx="24">
                  <c:v>11/18/2024</c:v>
                </c:pt>
                <c:pt idx="25">
                  <c:v>11/25/2024</c:v>
                </c:pt>
                <c:pt idx="26">
                  <c:v>12/2/2024</c:v>
                </c:pt>
                <c:pt idx="27">
                  <c:v>12/9/2024</c:v>
                </c:pt>
                <c:pt idx="28">
                  <c:v>12/16/2024</c:v>
                </c:pt>
                <c:pt idx="29">
                  <c:v>12/23/2024</c:v>
                </c:pt>
                <c:pt idx="30">
                  <c:v>12/30/2024</c:v>
                </c:pt>
                <c:pt idx="31">
                  <c:v>1/6/2025</c:v>
                </c:pt>
                <c:pt idx="32">
                  <c:v>1/13/2025</c:v>
                </c:pt>
                <c:pt idx="33">
                  <c:v>1/20/2025</c:v>
                </c:pt>
                <c:pt idx="34">
                  <c:v>1/27/2025</c:v>
                </c:pt>
                <c:pt idx="35">
                  <c:v>2/3/2025</c:v>
                </c:pt>
                <c:pt idx="36">
                  <c:v>2/10/2025</c:v>
                </c:pt>
                <c:pt idx="37">
                  <c:v>2/17/2025</c:v>
                </c:pt>
                <c:pt idx="38">
                  <c:v>2/24/2025</c:v>
                </c:pt>
                <c:pt idx="39">
                  <c:v>3/3/2025</c:v>
                </c:pt>
                <c:pt idx="40">
                  <c:v>3/10/2025</c:v>
                </c:pt>
                <c:pt idx="41">
                  <c:v>3/17/2025</c:v>
                </c:pt>
                <c:pt idx="42">
                  <c:v>3/24/2025</c:v>
                </c:pt>
                <c:pt idx="43">
                  <c:v>3/31/2025</c:v>
                </c:pt>
                <c:pt idx="44">
                  <c:v>4/7/2025</c:v>
                </c:pt>
                <c:pt idx="45">
                  <c:v>4/14/2025</c:v>
                </c:pt>
                <c:pt idx="46">
                  <c:v>4/21/2025</c:v>
                </c:pt>
                <c:pt idx="47">
                  <c:v>4/28/2025</c:v>
                </c:pt>
                <c:pt idx="48">
                  <c:v>5/5/2025</c:v>
                </c:pt>
                <c:pt idx="49">
                  <c:v>5/12/2025</c:v>
                </c:pt>
              </c:strCache>
            </c:strRef>
          </c:cat>
          <c:val>
            <c:numRef>
              <c:f>'Task 6'!$G$6:$G$55</c:f>
              <c:numCache>
                <c:formatCode>0</c:formatCode>
                <c:ptCount val="50"/>
                <c:pt idx="0">
                  <c:v>1090</c:v>
                </c:pt>
                <c:pt idx="1">
                  <c:v>994</c:v>
                </c:pt>
                <c:pt idx="2">
                  <c:v>337</c:v>
                </c:pt>
                <c:pt idx="3">
                  <c:v>-123</c:v>
                </c:pt>
                <c:pt idx="4">
                  <c:v>91</c:v>
                </c:pt>
                <c:pt idx="5">
                  <c:v>514</c:v>
                </c:pt>
                <c:pt idx="6">
                  <c:v>160</c:v>
                </c:pt>
                <c:pt idx="7">
                  <c:v>317</c:v>
                </c:pt>
                <c:pt idx="8">
                  <c:v>475</c:v>
                </c:pt>
                <c:pt idx="9">
                  <c:v>319</c:v>
                </c:pt>
                <c:pt idx="10">
                  <c:v>1032</c:v>
                </c:pt>
                <c:pt idx="11">
                  <c:v>190</c:v>
                </c:pt>
                <c:pt idx="12">
                  <c:v>28</c:v>
                </c:pt>
                <c:pt idx="13">
                  <c:v>333</c:v>
                </c:pt>
                <c:pt idx="14">
                  <c:v>1100</c:v>
                </c:pt>
                <c:pt idx="15">
                  <c:v>-32</c:v>
                </c:pt>
                <c:pt idx="16">
                  <c:v>1006</c:v>
                </c:pt>
                <c:pt idx="17">
                  <c:v>1706</c:v>
                </c:pt>
                <c:pt idx="18">
                  <c:v>118</c:v>
                </c:pt>
                <c:pt idx="19">
                  <c:v>367</c:v>
                </c:pt>
                <c:pt idx="20">
                  <c:v>1484</c:v>
                </c:pt>
                <c:pt idx="21">
                  <c:v>1657</c:v>
                </c:pt>
                <c:pt idx="22">
                  <c:v>1044</c:v>
                </c:pt>
                <c:pt idx="23">
                  <c:v>349</c:v>
                </c:pt>
                <c:pt idx="24">
                  <c:v>60</c:v>
                </c:pt>
                <c:pt idx="25">
                  <c:v>885</c:v>
                </c:pt>
                <c:pt idx="26">
                  <c:v>291</c:v>
                </c:pt>
                <c:pt idx="27">
                  <c:v>573</c:v>
                </c:pt>
                <c:pt idx="28">
                  <c:v>876</c:v>
                </c:pt>
                <c:pt idx="29">
                  <c:v>1589</c:v>
                </c:pt>
                <c:pt idx="30">
                  <c:v>1460</c:v>
                </c:pt>
                <c:pt idx="31">
                  <c:v>846</c:v>
                </c:pt>
                <c:pt idx="32">
                  <c:v>901</c:v>
                </c:pt>
                <c:pt idx="33">
                  <c:v>724</c:v>
                </c:pt>
                <c:pt idx="34">
                  <c:v>1225</c:v>
                </c:pt>
                <c:pt idx="35">
                  <c:v>-203</c:v>
                </c:pt>
                <c:pt idx="36">
                  <c:v>1444</c:v>
                </c:pt>
                <c:pt idx="37">
                  <c:v>1175</c:v>
                </c:pt>
                <c:pt idx="38">
                  <c:v>1016</c:v>
                </c:pt>
                <c:pt idx="39">
                  <c:v>315</c:v>
                </c:pt>
                <c:pt idx="40">
                  <c:v>1242</c:v>
                </c:pt>
                <c:pt idx="41">
                  <c:v>1385</c:v>
                </c:pt>
                <c:pt idx="42">
                  <c:v>389</c:v>
                </c:pt>
                <c:pt idx="43">
                  <c:v>1467</c:v>
                </c:pt>
                <c:pt idx="44">
                  <c:v>209</c:v>
                </c:pt>
                <c:pt idx="45">
                  <c:v>145</c:v>
                </c:pt>
                <c:pt idx="46">
                  <c:v>1633</c:v>
                </c:pt>
                <c:pt idx="47">
                  <c:v>637</c:v>
                </c:pt>
                <c:pt idx="48">
                  <c:v>864</c:v>
                </c:pt>
                <c:pt idx="49">
                  <c:v>-337</c:v>
                </c:pt>
              </c:numCache>
            </c:numRef>
          </c:val>
          <c:smooth val="0"/>
          <c:extLst>
            <c:ext xmlns:c16="http://schemas.microsoft.com/office/drawing/2014/chart" uri="{C3380CC4-5D6E-409C-BE32-E72D297353CC}">
              <c16:uniqueId val="{00000007-024C-44BC-AE53-952E486E247F}"/>
            </c:ext>
          </c:extLst>
        </c:ser>
        <c:dLbls>
          <c:showLegendKey val="0"/>
          <c:showVal val="0"/>
          <c:showCatName val="0"/>
          <c:showSerName val="0"/>
          <c:showPercent val="0"/>
          <c:showBubbleSize val="0"/>
        </c:dLbls>
        <c:marker val="1"/>
        <c:smooth val="0"/>
        <c:axId val="625292096"/>
        <c:axId val="625290296"/>
      </c:lineChart>
      <c:catAx>
        <c:axId val="6252920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290296"/>
        <c:crosses val="autoZero"/>
        <c:auto val="1"/>
        <c:lblAlgn val="ctr"/>
        <c:lblOffset val="100"/>
        <c:noMultiLvlLbl val="0"/>
      </c:catAx>
      <c:valAx>
        <c:axId val="6252902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529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Moving Average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'Engagement Summary'!$H$1</c:f>
              <c:strCache>
                <c:ptCount val="1"/>
                <c:pt idx="0">
                  <c:v>Net Growth</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f>'Task 6'!$C$70:$C$119</c:f>
              <c:numCache>
                <c:formatCode>m/d/yyyy</c:formatCod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numCache>
            </c:numRef>
          </c:cat>
          <c:val>
            <c:numRef>
              <c:f>'Engagement Summary'!$H$2:$H$1000</c:f>
              <c:numCache>
                <c:formatCode>0</c:formatCode>
                <c:ptCount val="999"/>
                <c:pt idx="0">
                  <c:v>1047</c:v>
                </c:pt>
                <c:pt idx="1">
                  <c:v>1002</c:v>
                </c:pt>
                <c:pt idx="2">
                  <c:v>415</c:v>
                </c:pt>
                <c:pt idx="3">
                  <c:v>1090</c:v>
                </c:pt>
                <c:pt idx="4">
                  <c:v>517</c:v>
                </c:pt>
                <c:pt idx="5">
                  <c:v>1283</c:v>
                </c:pt>
                <c:pt idx="6">
                  <c:v>186</c:v>
                </c:pt>
                <c:pt idx="7">
                  <c:v>994</c:v>
                </c:pt>
                <c:pt idx="8">
                  <c:v>893</c:v>
                </c:pt>
                <c:pt idx="9">
                  <c:v>1382</c:v>
                </c:pt>
                <c:pt idx="10">
                  <c:v>1295</c:v>
                </c:pt>
                <c:pt idx="11">
                  <c:v>337</c:v>
                </c:pt>
                <c:pt idx="12">
                  <c:v>629</c:v>
                </c:pt>
                <c:pt idx="13">
                  <c:v>1670</c:v>
                </c:pt>
                <c:pt idx="14">
                  <c:v>835</c:v>
                </c:pt>
                <c:pt idx="15">
                  <c:v>-123</c:v>
                </c:pt>
                <c:pt idx="16">
                  <c:v>-219</c:v>
                </c:pt>
                <c:pt idx="17">
                  <c:v>64</c:v>
                </c:pt>
                <c:pt idx="18">
                  <c:v>1357</c:v>
                </c:pt>
                <c:pt idx="19">
                  <c:v>91</c:v>
                </c:pt>
                <c:pt idx="20">
                  <c:v>1672</c:v>
                </c:pt>
                <c:pt idx="21">
                  <c:v>309</c:v>
                </c:pt>
                <c:pt idx="22">
                  <c:v>547</c:v>
                </c:pt>
                <c:pt idx="23">
                  <c:v>514</c:v>
                </c:pt>
                <c:pt idx="24">
                  <c:v>1845</c:v>
                </c:pt>
                <c:pt idx="25">
                  <c:v>-164</c:v>
                </c:pt>
                <c:pt idx="26">
                  <c:v>429</c:v>
                </c:pt>
                <c:pt idx="27">
                  <c:v>160</c:v>
                </c:pt>
                <c:pt idx="28">
                  <c:v>159</c:v>
                </c:pt>
                <c:pt idx="29">
                  <c:v>961</c:v>
                </c:pt>
                <c:pt idx="30">
                  <c:v>1316</c:v>
                </c:pt>
                <c:pt idx="31">
                  <c:v>317</c:v>
                </c:pt>
                <c:pt idx="32">
                  <c:v>541</c:v>
                </c:pt>
                <c:pt idx="33">
                  <c:v>-318</c:v>
                </c:pt>
                <c:pt idx="34">
                  <c:v>1495</c:v>
                </c:pt>
                <c:pt idx="35">
                  <c:v>475</c:v>
                </c:pt>
                <c:pt idx="36">
                  <c:v>352</c:v>
                </c:pt>
                <c:pt idx="37">
                  <c:v>-197</c:v>
                </c:pt>
                <c:pt idx="38">
                  <c:v>328</c:v>
                </c:pt>
                <c:pt idx="39">
                  <c:v>319</c:v>
                </c:pt>
                <c:pt idx="40">
                  <c:v>1325</c:v>
                </c:pt>
                <c:pt idx="41">
                  <c:v>1334</c:v>
                </c:pt>
                <c:pt idx="42">
                  <c:v>37</c:v>
                </c:pt>
                <c:pt idx="43">
                  <c:v>1032</c:v>
                </c:pt>
                <c:pt idx="44">
                  <c:v>76</c:v>
                </c:pt>
                <c:pt idx="45">
                  <c:v>1058</c:v>
                </c:pt>
                <c:pt idx="46">
                  <c:v>1665</c:v>
                </c:pt>
                <c:pt idx="47">
                  <c:v>190</c:v>
                </c:pt>
                <c:pt idx="48">
                  <c:v>1609</c:v>
                </c:pt>
                <c:pt idx="49">
                  <c:v>37</c:v>
                </c:pt>
                <c:pt idx="50">
                  <c:v>1229</c:v>
                </c:pt>
                <c:pt idx="51">
                  <c:v>28</c:v>
                </c:pt>
                <c:pt idx="52">
                  <c:v>1247</c:v>
                </c:pt>
                <c:pt idx="53">
                  <c:v>1045</c:v>
                </c:pt>
                <c:pt idx="54">
                  <c:v>197</c:v>
                </c:pt>
                <c:pt idx="55">
                  <c:v>333</c:v>
                </c:pt>
                <c:pt idx="56">
                  <c:v>1572</c:v>
                </c:pt>
                <c:pt idx="57">
                  <c:v>1428</c:v>
                </c:pt>
                <c:pt idx="58">
                  <c:v>260</c:v>
                </c:pt>
                <c:pt idx="59">
                  <c:v>1100</c:v>
                </c:pt>
                <c:pt idx="60">
                  <c:v>377</c:v>
                </c:pt>
                <c:pt idx="61">
                  <c:v>98</c:v>
                </c:pt>
                <c:pt idx="62">
                  <c:v>1125</c:v>
                </c:pt>
                <c:pt idx="63">
                  <c:v>-32</c:v>
                </c:pt>
                <c:pt idx="64">
                  <c:v>666</c:v>
                </c:pt>
                <c:pt idx="65">
                  <c:v>-19</c:v>
                </c:pt>
                <c:pt idx="66">
                  <c:v>1680</c:v>
                </c:pt>
                <c:pt idx="67">
                  <c:v>1006</c:v>
                </c:pt>
                <c:pt idx="68">
                  <c:v>1025</c:v>
                </c:pt>
                <c:pt idx="69">
                  <c:v>-179</c:v>
                </c:pt>
                <c:pt idx="70">
                  <c:v>599</c:v>
                </c:pt>
                <c:pt idx="71">
                  <c:v>1706</c:v>
                </c:pt>
                <c:pt idx="72">
                  <c:v>1872</c:v>
                </c:pt>
                <c:pt idx="73">
                  <c:v>1662</c:v>
                </c:pt>
                <c:pt idx="74">
                  <c:v>107</c:v>
                </c:pt>
                <c:pt idx="75">
                  <c:v>118</c:v>
                </c:pt>
                <c:pt idx="76">
                  <c:v>1224</c:v>
                </c:pt>
                <c:pt idx="77">
                  <c:v>285</c:v>
                </c:pt>
                <c:pt idx="78">
                  <c:v>-20</c:v>
                </c:pt>
                <c:pt idx="79">
                  <c:v>367</c:v>
                </c:pt>
                <c:pt idx="80">
                  <c:v>262</c:v>
                </c:pt>
                <c:pt idx="81">
                  <c:v>439</c:v>
                </c:pt>
                <c:pt idx="82">
                  <c:v>636</c:v>
                </c:pt>
                <c:pt idx="83">
                  <c:v>1484</c:v>
                </c:pt>
                <c:pt idx="84">
                  <c:v>576</c:v>
                </c:pt>
                <c:pt idx="85">
                  <c:v>386</c:v>
                </c:pt>
                <c:pt idx="86">
                  <c:v>37</c:v>
                </c:pt>
                <c:pt idx="87">
                  <c:v>1657</c:v>
                </c:pt>
                <c:pt idx="88">
                  <c:v>1397</c:v>
                </c:pt>
                <c:pt idx="89">
                  <c:v>540</c:v>
                </c:pt>
                <c:pt idx="90">
                  <c:v>1603</c:v>
                </c:pt>
                <c:pt idx="91">
                  <c:v>1044</c:v>
                </c:pt>
                <c:pt idx="92">
                  <c:v>902</c:v>
                </c:pt>
                <c:pt idx="93">
                  <c:v>-106</c:v>
                </c:pt>
                <c:pt idx="94">
                  <c:v>1150</c:v>
                </c:pt>
                <c:pt idx="95">
                  <c:v>349</c:v>
                </c:pt>
                <c:pt idx="96">
                  <c:v>-49</c:v>
                </c:pt>
                <c:pt idx="97">
                  <c:v>72</c:v>
                </c:pt>
                <c:pt idx="98">
                  <c:v>445</c:v>
                </c:pt>
                <c:pt idx="99">
                  <c:v>60</c:v>
                </c:pt>
                <c:pt idx="100">
                  <c:v>1693</c:v>
                </c:pt>
                <c:pt idx="101">
                  <c:v>1332</c:v>
                </c:pt>
                <c:pt idx="102">
                  <c:v>98</c:v>
                </c:pt>
                <c:pt idx="103">
                  <c:v>885</c:v>
                </c:pt>
                <c:pt idx="104">
                  <c:v>1625</c:v>
                </c:pt>
                <c:pt idx="105">
                  <c:v>1706</c:v>
                </c:pt>
                <c:pt idx="106">
                  <c:v>1173</c:v>
                </c:pt>
                <c:pt idx="107">
                  <c:v>291</c:v>
                </c:pt>
                <c:pt idx="108">
                  <c:v>1119</c:v>
                </c:pt>
                <c:pt idx="109">
                  <c:v>1373</c:v>
                </c:pt>
                <c:pt idx="110">
                  <c:v>1727</c:v>
                </c:pt>
                <c:pt idx="111">
                  <c:v>573</c:v>
                </c:pt>
                <c:pt idx="112">
                  <c:v>1432</c:v>
                </c:pt>
                <c:pt idx="113">
                  <c:v>1377</c:v>
                </c:pt>
                <c:pt idx="114">
                  <c:v>1359</c:v>
                </c:pt>
                <c:pt idx="115">
                  <c:v>876</c:v>
                </c:pt>
                <c:pt idx="116">
                  <c:v>684</c:v>
                </c:pt>
                <c:pt idx="117">
                  <c:v>730</c:v>
                </c:pt>
                <c:pt idx="118">
                  <c:v>911</c:v>
                </c:pt>
                <c:pt idx="119">
                  <c:v>1589</c:v>
                </c:pt>
                <c:pt idx="120">
                  <c:v>1765</c:v>
                </c:pt>
                <c:pt idx="121">
                  <c:v>1776</c:v>
                </c:pt>
                <c:pt idx="122">
                  <c:v>1529</c:v>
                </c:pt>
                <c:pt idx="123">
                  <c:v>1460</c:v>
                </c:pt>
                <c:pt idx="124">
                  <c:v>903</c:v>
                </c:pt>
                <c:pt idx="125">
                  <c:v>620</c:v>
                </c:pt>
                <c:pt idx="126">
                  <c:v>1188</c:v>
                </c:pt>
                <c:pt idx="127">
                  <c:v>846</c:v>
                </c:pt>
                <c:pt idx="128">
                  <c:v>1722</c:v>
                </c:pt>
                <c:pt idx="129">
                  <c:v>298</c:v>
                </c:pt>
                <c:pt idx="130">
                  <c:v>-144</c:v>
                </c:pt>
                <c:pt idx="131">
                  <c:v>901</c:v>
                </c:pt>
                <c:pt idx="132">
                  <c:v>1572</c:v>
                </c:pt>
                <c:pt idx="133">
                  <c:v>427</c:v>
                </c:pt>
                <c:pt idx="134">
                  <c:v>891</c:v>
                </c:pt>
                <c:pt idx="135">
                  <c:v>724</c:v>
                </c:pt>
                <c:pt idx="136">
                  <c:v>-166</c:v>
                </c:pt>
                <c:pt idx="137">
                  <c:v>898</c:v>
                </c:pt>
                <c:pt idx="138">
                  <c:v>1426</c:v>
                </c:pt>
                <c:pt idx="139">
                  <c:v>1225</c:v>
                </c:pt>
                <c:pt idx="140">
                  <c:v>1080</c:v>
                </c:pt>
                <c:pt idx="141">
                  <c:v>748</c:v>
                </c:pt>
                <c:pt idx="142">
                  <c:v>569</c:v>
                </c:pt>
                <c:pt idx="143">
                  <c:v>-203</c:v>
                </c:pt>
                <c:pt idx="144">
                  <c:v>1723</c:v>
                </c:pt>
                <c:pt idx="145">
                  <c:v>912</c:v>
                </c:pt>
                <c:pt idx="146">
                  <c:v>1202</c:v>
                </c:pt>
                <c:pt idx="147">
                  <c:v>1444</c:v>
                </c:pt>
                <c:pt idx="148">
                  <c:v>965</c:v>
                </c:pt>
                <c:pt idx="149">
                  <c:v>1590</c:v>
                </c:pt>
                <c:pt idx="150">
                  <c:v>-37</c:v>
                </c:pt>
                <c:pt idx="151">
                  <c:v>1175</c:v>
                </c:pt>
                <c:pt idx="152">
                  <c:v>1375</c:v>
                </c:pt>
                <c:pt idx="153">
                  <c:v>1707</c:v>
                </c:pt>
                <c:pt idx="154">
                  <c:v>708</c:v>
                </c:pt>
                <c:pt idx="155">
                  <c:v>1016</c:v>
                </c:pt>
                <c:pt idx="156">
                  <c:v>1315</c:v>
                </c:pt>
                <c:pt idx="157">
                  <c:v>-119</c:v>
                </c:pt>
                <c:pt idx="158">
                  <c:v>899</c:v>
                </c:pt>
                <c:pt idx="159">
                  <c:v>315</c:v>
                </c:pt>
                <c:pt idx="160">
                  <c:v>212</c:v>
                </c:pt>
                <c:pt idx="161">
                  <c:v>908</c:v>
                </c:pt>
                <c:pt idx="162">
                  <c:v>1350</c:v>
                </c:pt>
                <c:pt idx="163">
                  <c:v>1242</c:v>
                </c:pt>
                <c:pt idx="164">
                  <c:v>680</c:v>
                </c:pt>
                <c:pt idx="165">
                  <c:v>1116</c:v>
                </c:pt>
                <c:pt idx="166">
                  <c:v>861</c:v>
                </c:pt>
                <c:pt idx="167">
                  <c:v>1385</c:v>
                </c:pt>
                <c:pt idx="168">
                  <c:v>461</c:v>
                </c:pt>
                <c:pt idx="169">
                  <c:v>474</c:v>
                </c:pt>
                <c:pt idx="170">
                  <c:v>292</c:v>
                </c:pt>
                <c:pt idx="171">
                  <c:v>389</c:v>
                </c:pt>
                <c:pt idx="172">
                  <c:v>641</c:v>
                </c:pt>
                <c:pt idx="173">
                  <c:v>514</c:v>
                </c:pt>
                <c:pt idx="174">
                  <c:v>1676</c:v>
                </c:pt>
                <c:pt idx="175">
                  <c:v>1467</c:v>
                </c:pt>
                <c:pt idx="176">
                  <c:v>167</c:v>
                </c:pt>
                <c:pt idx="177">
                  <c:v>1029</c:v>
                </c:pt>
                <c:pt idx="178">
                  <c:v>1007</c:v>
                </c:pt>
                <c:pt idx="179">
                  <c:v>209</c:v>
                </c:pt>
                <c:pt idx="180">
                  <c:v>-160</c:v>
                </c:pt>
                <c:pt idx="181">
                  <c:v>-175</c:v>
                </c:pt>
                <c:pt idx="182">
                  <c:v>53</c:v>
                </c:pt>
                <c:pt idx="183">
                  <c:v>145</c:v>
                </c:pt>
                <c:pt idx="184">
                  <c:v>603</c:v>
                </c:pt>
                <c:pt idx="185">
                  <c:v>1045</c:v>
                </c:pt>
                <c:pt idx="186">
                  <c:v>759</c:v>
                </c:pt>
                <c:pt idx="187">
                  <c:v>1633</c:v>
                </c:pt>
                <c:pt idx="188">
                  <c:v>1539</c:v>
                </c:pt>
                <c:pt idx="189">
                  <c:v>453</c:v>
                </c:pt>
                <c:pt idx="190">
                  <c:v>948</c:v>
                </c:pt>
                <c:pt idx="191">
                  <c:v>637</c:v>
                </c:pt>
                <c:pt idx="192">
                  <c:v>1881</c:v>
                </c:pt>
                <c:pt idx="193">
                  <c:v>339</c:v>
                </c:pt>
                <c:pt idx="194">
                  <c:v>1510</c:v>
                </c:pt>
                <c:pt idx="195">
                  <c:v>864</c:v>
                </c:pt>
                <c:pt idx="196">
                  <c:v>1656</c:v>
                </c:pt>
                <c:pt idx="197">
                  <c:v>407</c:v>
                </c:pt>
                <c:pt idx="198">
                  <c:v>269</c:v>
                </c:pt>
                <c:pt idx="199">
                  <c:v>-337</c:v>
                </c:pt>
              </c:numCache>
            </c:numRef>
          </c:val>
          <c:smooth val="0"/>
          <c:extLst>
            <c:ext xmlns:c16="http://schemas.microsoft.com/office/drawing/2014/chart" uri="{C3380CC4-5D6E-409C-BE32-E72D297353CC}">
              <c16:uniqueId val="{00000000-86E5-480A-A67B-A5A9A88001EA}"/>
            </c:ext>
          </c:extLst>
        </c:ser>
        <c:ser>
          <c:idx val="2"/>
          <c:order val="1"/>
          <c:tx>
            <c:strRef>
              <c:f>'Task 6'!$H$69</c:f>
              <c:strCache>
                <c:ptCount val="1"/>
                <c:pt idx="0">
                  <c:v>Facebook MA</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'Task 6'!$C$70:$C$119</c:f>
              <c:numCache>
                <c:formatCode>m/d/yyyy</c:formatCod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numCache>
            </c:numRef>
          </c:cat>
          <c:val>
            <c:numRef>
              <c:f>'Task 6'!$H$73:$H$119</c:f>
              <c:numCache>
                <c:formatCode>0</c:formatCode>
                <c:ptCount val="47"/>
                <c:pt idx="0">
                  <c:v>1334.25</c:v>
                </c:pt>
                <c:pt idx="1">
                  <c:v>1099.75</c:v>
                </c:pt>
                <c:pt idx="2">
                  <c:v>856.25</c:v>
                </c:pt>
                <c:pt idx="3">
                  <c:v>469.75</c:v>
                </c:pt>
                <c:pt idx="4">
                  <c:v>292.5</c:v>
                </c:pt>
                <c:pt idx="5">
                  <c:v>197</c:v>
                </c:pt>
                <c:pt idx="6">
                  <c:v>70.5</c:v>
                </c:pt>
                <c:pt idx="7">
                  <c:v>445</c:v>
                </c:pt>
                <c:pt idx="8">
                  <c:v>469.25</c:v>
                </c:pt>
                <c:pt idx="9">
                  <c:v>558</c:v>
                </c:pt>
                <c:pt idx="10">
                  <c:v>868.5</c:v>
                </c:pt>
                <c:pt idx="11">
                  <c:v>892</c:v>
                </c:pt>
                <c:pt idx="12">
                  <c:v>652</c:v>
                </c:pt>
                <c:pt idx="13">
                  <c:v>638</c:v>
                </c:pt>
                <c:pt idx="14">
                  <c:v>332</c:v>
                </c:pt>
                <c:pt idx="15">
                  <c:v>390.5</c:v>
                </c:pt>
                <c:pt idx="16">
                  <c:v>437.25</c:v>
                </c:pt>
                <c:pt idx="17">
                  <c:v>551.75</c:v>
                </c:pt>
                <c:pt idx="18">
                  <c:v>693</c:v>
                </c:pt>
                <c:pt idx="19">
                  <c:v>412.5</c:v>
                </c:pt>
                <c:pt idx="20">
                  <c:v>314.75</c:v>
                </c:pt>
                <c:pt idx="21">
                  <c:v>223</c:v>
                </c:pt>
                <c:pt idx="22">
                  <c:v>459.5</c:v>
                </c:pt>
                <c:pt idx="23">
                  <c:v>751</c:v>
                </c:pt>
                <c:pt idx="24">
                  <c:v>1120.75</c:v>
                </c:pt>
                <c:pt idx="25">
                  <c:v>1447</c:v>
                </c:pt>
                <c:pt idx="26">
                  <c:v>1296.5</c:v>
                </c:pt>
                <c:pt idx="27">
                  <c:v>1314</c:v>
                </c:pt>
                <c:pt idx="28">
                  <c:v>1125.75</c:v>
                </c:pt>
                <c:pt idx="29">
                  <c:v>856</c:v>
                </c:pt>
                <c:pt idx="30">
                  <c:v>780.25</c:v>
                </c:pt>
                <c:pt idx="31">
                  <c:v>560.75</c:v>
                </c:pt>
                <c:pt idx="32">
                  <c:v>592.75</c:v>
                </c:pt>
                <c:pt idx="33">
                  <c:v>746.25</c:v>
                </c:pt>
                <c:pt idx="34">
                  <c:v>1037</c:v>
                </c:pt>
                <c:pt idx="35">
                  <c:v>1239.25</c:v>
                </c:pt>
                <c:pt idx="36">
                  <c:v>1022.5</c:v>
                </c:pt>
                <c:pt idx="37">
                  <c:v>1021.5</c:v>
                </c:pt>
                <c:pt idx="38">
                  <c:v>903</c:v>
                </c:pt>
                <c:pt idx="39">
                  <c:v>594.75</c:v>
                </c:pt>
                <c:pt idx="40">
                  <c:v>753</c:v>
                </c:pt>
                <c:pt idx="41">
                  <c:v>783.25</c:v>
                </c:pt>
                <c:pt idx="42">
                  <c:v>460.5</c:v>
                </c:pt>
                <c:pt idx="43">
                  <c:v>603.25</c:v>
                </c:pt>
                <c:pt idx="44">
                  <c:v>588</c:v>
                </c:pt>
                <c:pt idx="45">
                  <c:v>415.5</c:v>
                </c:pt>
                <c:pt idx="46">
                  <c:v>561</c:v>
                </c:pt>
              </c:numCache>
            </c:numRef>
          </c:val>
          <c:smooth val="0"/>
          <c:extLst>
            <c:ext xmlns:c16="http://schemas.microsoft.com/office/drawing/2014/chart" uri="{C3380CC4-5D6E-409C-BE32-E72D297353CC}">
              <c16:uniqueId val="{00000002-86E5-480A-A67B-A5A9A88001EA}"/>
            </c:ext>
          </c:extLst>
        </c:ser>
        <c:ser>
          <c:idx val="1"/>
          <c:order val="2"/>
          <c:tx>
            <c:strRef>
              <c:f>'Task 6'!$I$69</c:f>
              <c:strCache>
                <c:ptCount val="1"/>
                <c:pt idx="0">
                  <c:v>Instagram MA</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numRef>
              <c:f>'Task 6'!$C$70:$C$119</c:f>
              <c:numCache>
                <c:formatCode>m/d/yyyy</c:formatCod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numCache>
            </c:numRef>
          </c:cat>
          <c:val>
            <c:numRef>
              <c:f>'Task 6'!$I$73:$I$119</c:f>
              <c:numCache>
                <c:formatCode>0</c:formatCode>
                <c:ptCount val="47"/>
                <c:pt idx="0">
                  <c:v>771.5</c:v>
                </c:pt>
                <c:pt idx="1">
                  <c:v>455</c:v>
                </c:pt>
                <c:pt idx="2">
                  <c:v>743.75</c:v>
                </c:pt>
                <c:pt idx="3">
                  <c:v>981.75</c:v>
                </c:pt>
                <c:pt idx="4">
                  <c:v>864.25</c:v>
                </c:pt>
                <c:pt idx="5">
                  <c:v>1054.25</c:v>
                </c:pt>
                <c:pt idx="6">
                  <c:v>724.25</c:v>
                </c:pt>
                <c:pt idx="7">
                  <c:v>594.25</c:v>
                </c:pt>
                <c:pt idx="8">
                  <c:v>573.5</c:v>
                </c:pt>
                <c:pt idx="9">
                  <c:v>840.5</c:v>
                </c:pt>
                <c:pt idx="10">
                  <c:v>1064.25</c:v>
                </c:pt>
                <c:pt idx="11">
                  <c:v>1126</c:v>
                </c:pt>
                <c:pt idx="12">
                  <c:v>1201.25</c:v>
                </c:pt>
                <c:pt idx="13">
                  <c:v>965.5</c:v>
                </c:pt>
                <c:pt idx="14">
                  <c:v>910</c:v>
                </c:pt>
                <c:pt idx="15">
                  <c:v>985</c:v>
                </c:pt>
                <c:pt idx="16">
                  <c:v>1196.75</c:v>
                </c:pt>
                <c:pt idx="17">
                  <c:v>1095.75</c:v>
                </c:pt>
                <c:pt idx="18">
                  <c:v>983.5</c:v>
                </c:pt>
                <c:pt idx="19">
                  <c:v>864.75</c:v>
                </c:pt>
                <c:pt idx="20">
                  <c:v>784.25</c:v>
                </c:pt>
                <c:pt idx="21">
                  <c:v>706.5</c:v>
                </c:pt>
                <c:pt idx="22">
                  <c:v>985.75</c:v>
                </c:pt>
                <c:pt idx="23">
                  <c:v>1042.75</c:v>
                </c:pt>
                <c:pt idx="24">
                  <c:v>1097</c:v>
                </c:pt>
                <c:pt idx="25">
                  <c:v>1467.25</c:v>
                </c:pt>
                <c:pt idx="26">
                  <c:v>1215</c:v>
                </c:pt>
                <c:pt idx="27">
                  <c:v>1250</c:v>
                </c:pt>
                <c:pt idx="28">
                  <c:v>1196</c:v>
                </c:pt>
                <c:pt idx="29">
                  <c:v>1268.5</c:v>
                </c:pt>
                <c:pt idx="30">
                  <c:v>1490.5</c:v>
                </c:pt>
                <c:pt idx="31">
                  <c:v>1007.75</c:v>
                </c:pt>
                <c:pt idx="32">
                  <c:v>1052</c:v>
                </c:pt>
                <c:pt idx="33">
                  <c:v>1052.25</c:v>
                </c:pt>
                <c:pt idx="34">
                  <c:v>900.5</c:v>
                </c:pt>
                <c:pt idx="35">
                  <c:v>1285.75</c:v>
                </c:pt>
                <c:pt idx="36">
                  <c:v>1344.5</c:v>
                </c:pt>
                <c:pt idx="37">
                  <c:v>966.75</c:v>
                </c:pt>
                <c:pt idx="38">
                  <c:v>895.5</c:v>
                </c:pt>
                <c:pt idx="39">
                  <c:v>667</c:v>
                </c:pt>
                <c:pt idx="40">
                  <c:v>498.5</c:v>
                </c:pt>
                <c:pt idx="41">
                  <c:v>487.25</c:v>
                </c:pt>
                <c:pt idx="42">
                  <c:v>277.25</c:v>
                </c:pt>
                <c:pt idx="43">
                  <c:v>312.75</c:v>
                </c:pt>
                <c:pt idx="44">
                  <c:v>537.25</c:v>
                </c:pt>
                <c:pt idx="45">
                  <c:v>965.75</c:v>
                </c:pt>
                <c:pt idx="46">
                  <c:v>1419.75</c:v>
                </c:pt>
              </c:numCache>
            </c:numRef>
          </c:val>
          <c:smooth val="0"/>
          <c:extLst>
            <c:ext xmlns:c16="http://schemas.microsoft.com/office/drawing/2014/chart" uri="{C3380CC4-5D6E-409C-BE32-E72D297353CC}">
              <c16:uniqueId val="{00000003-86E5-480A-A67B-A5A9A88001EA}"/>
            </c:ext>
          </c:extLst>
        </c:ser>
        <c:ser>
          <c:idx val="3"/>
          <c:order val="3"/>
          <c:tx>
            <c:strRef>
              <c:f>'Task 6'!$J$69</c:f>
              <c:strCache>
                <c:ptCount val="1"/>
                <c:pt idx="0">
                  <c:v>Twitter MA</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none"/>
          </c:marker>
          <c:cat>
            <c:numRef>
              <c:f>'Task 6'!$C$70:$C$119</c:f>
              <c:numCache>
                <c:formatCode>m/d/yyyy</c:formatCod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numCache>
            </c:numRef>
          </c:cat>
          <c:val>
            <c:numRef>
              <c:f>'Task 6'!$J$73:$J$119</c:f>
              <c:numCache>
                <c:formatCode>0</c:formatCode>
                <c:ptCount val="47"/>
                <c:pt idx="0">
                  <c:v>682.75</c:v>
                </c:pt>
                <c:pt idx="1">
                  <c:v>918.25</c:v>
                </c:pt>
                <c:pt idx="2">
                  <c:v>1008.5</c:v>
                </c:pt>
                <c:pt idx="3">
                  <c:v>792</c:v>
                </c:pt>
                <c:pt idx="4">
                  <c:v>912.25</c:v>
                </c:pt>
                <c:pt idx="5">
                  <c:v>946.75</c:v>
                </c:pt>
                <c:pt idx="6">
                  <c:v>892</c:v>
                </c:pt>
                <c:pt idx="7">
                  <c:v>794</c:v>
                </c:pt>
                <c:pt idx="8">
                  <c:v>881.25</c:v>
                </c:pt>
                <c:pt idx="9">
                  <c:v>814.75</c:v>
                </c:pt>
                <c:pt idx="10">
                  <c:v>782</c:v>
                </c:pt>
                <c:pt idx="11">
                  <c:v>837.75</c:v>
                </c:pt>
                <c:pt idx="12">
                  <c:v>702.75</c:v>
                </c:pt>
                <c:pt idx="13">
                  <c:v>815.5</c:v>
                </c:pt>
                <c:pt idx="14">
                  <c:v>916</c:v>
                </c:pt>
                <c:pt idx="15">
                  <c:v>877.75</c:v>
                </c:pt>
                <c:pt idx="16">
                  <c:v>591.5</c:v>
                </c:pt>
                <c:pt idx="17">
                  <c:v>330.5</c:v>
                </c:pt>
                <c:pt idx="18">
                  <c:v>190</c:v>
                </c:pt>
                <c:pt idx="19">
                  <c:v>564</c:v>
                </c:pt>
                <c:pt idx="20">
                  <c:v>856.5</c:v>
                </c:pt>
                <c:pt idx="21">
                  <c:v>808.75</c:v>
                </c:pt>
                <c:pt idx="22">
                  <c:v>824</c:v>
                </c:pt>
                <c:pt idx="23">
                  <c:v>716.5</c:v>
                </c:pt>
                <c:pt idx="24">
                  <c:v>860.75</c:v>
                </c:pt>
                <c:pt idx="25">
                  <c:v>1089.25</c:v>
                </c:pt>
                <c:pt idx="26">
                  <c:v>1292.5</c:v>
                </c:pt>
                <c:pt idx="27">
                  <c:v>1381.5</c:v>
                </c:pt>
                <c:pt idx="28">
                  <c:v>1246.75</c:v>
                </c:pt>
                <c:pt idx="29">
                  <c:v>871</c:v>
                </c:pt>
                <c:pt idx="30">
                  <c:v>866</c:v>
                </c:pt>
                <c:pt idx="31">
                  <c:v>840.25</c:v>
                </c:pt>
                <c:pt idx="32">
                  <c:v>685.5</c:v>
                </c:pt>
                <c:pt idx="33">
                  <c:v>1022</c:v>
                </c:pt>
                <c:pt idx="34">
                  <c:v>790</c:v>
                </c:pt>
                <c:pt idx="35">
                  <c:v>610.5</c:v>
                </c:pt>
                <c:pt idx="36">
                  <c:v>693</c:v>
                </c:pt>
                <c:pt idx="37">
                  <c:v>730</c:v>
                </c:pt>
                <c:pt idx="38">
                  <c:v>954.5</c:v>
                </c:pt>
                <c:pt idx="39">
                  <c:v>850.5</c:v>
                </c:pt>
                <c:pt idx="40">
                  <c:v>1044.75</c:v>
                </c:pt>
                <c:pt idx="41">
                  <c:v>959</c:v>
                </c:pt>
                <c:pt idx="42">
                  <c:v>757</c:v>
                </c:pt>
                <c:pt idx="43">
                  <c:v>873.75</c:v>
                </c:pt>
                <c:pt idx="44">
                  <c:v>691.75</c:v>
                </c:pt>
                <c:pt idx="45">
                  <c:v>817.5</c:v>
                </c:pt>
                <c:pt idx="46">
                  <c:v>871.5</c:v>
                </c:pt>
              </c:numCache>
            </c:numRef>
          </c:val>
          <c:smooth val="0"/>
          <c:extLst>
            <c:ext xmlns:c16="http://schemas.microsoft.com/office/drawing/2014/chart" uri="{C3380CC4-5D6E-409C-BE32-E72D297353CC}">
              <c16:uniqueId val="{00000004-86E5-480A-A67B-A5A9A88001EA}"/>
            </c:ext>
          </c:extLst>
        </c:ser>
        <c:ser>
          <c:idx val="4"/>
          <c:order val="4"/>
          <c:tx>
            <c:strRef>
              <c:f>'Task 6'!$K$69</c:f>
              <c:strCache>
                <c:ptCount val="1"/>
                <c:pt idx="0">
                  <c:v>YouTube MA</c:v>
                </c:pt>
              </c:strCache>
            </c:strRef>
          </c:tx>
          <c:spPr>
            <a:ln w="34925" cap="rnd">
              <a:solidFill>
                <a:schemeClr val="accent5">
                  <a:lumMod val="60000"/>
                </a:schemeClr>
              </a:solidFill>
              <a:round/>
            </a:ln>
            <a:effectLst>
              <a:outerShdw blurRad="57150" dist="19050" dir="5400000" algn="ctr" rotWithShape="0">
                <a:srgbClr val="000000">
                  <a:alpha val="63000"/>
                </a:srgbClr>
              </a:outerShdw>
            </a:effectLst>
          </c:spPr>
          <c:marker>
            <c:symbol val="none"/>
          </c:marker>
          <c:cat>
            <c:numRef>
              <c:f>'Task 6'!$C$70:$C$119</c:f>
              <c:numCache>
                <c:formatCode>m/d/yyyy</c:formatCod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numCache>
            </c:numRef>
          </c:cat>
          <c:val>
            <c:numRef>
              <c:f>'Task 6'!$K$73:$K$119</c:f>
              <c:numCache>
                <c:formatCode>0</c:formatCode>
                <c:ptCount val="47"/>
                <c:pt idx="0">
                  <c:v>574.5</c:v>
                </c:pt>
                <c:pt idx="1">
                  <c:v>324.75</c:v>
                </c:pt>
                <c:pt idx="2">
                  <c:v>204.75</c:v>
                </c:pt>
                <c:pt idx="3">
                  <c:v>160.5</c:v>
                </c:pt>
                <c:pt idx="4">
                  <c:v>270.5</c:v>
                </c:pt>
                <c:pt idx="5">
                  <c:v>366.5</c:v>
                </c:pt>
                <c:pt idx="6">
                  <c:v>317.75</c:v>
                </c:pt>
                <c:pt idx="7">
                  <c:v>535.75</c:v>
                </c:pt>
                <c:pt idx="8">
                  <c:v>504</c:v>
                </c:pt>
                <c:pt idx="9">
                  <c:v>392.25</c:v>
                </c:pt>
                <c:pt idx="10">
                  <c:v>395.75</c:v>
                </c:pt>
                <c:pt idx="11">
                  <c:v>412.75</c:v>
                </c:pt>
                <c:pt idx="12">
                  <c:v>357.25</c:v>
                </c:pt>
                <c:pt idx="13">
                  <c:v>601.75</c:v>
                </c:pt>
                <c:pt idx="14">
                  <c:v>945</c:v>
                </c:pt>
                <c:pt idx="15">
                  <c:v>699.5</c:v>
                </c:pt>
                <c:pt idx="16">
                  <c:v>799.25</c:v>
                </c:pt>
                <c:pt idx="17">
                  <c:v>918.75</c:v>
                </c:pt>
                <c:pt idx="18">
                  <c:v>906.5</c:v>
                </c:pt>
                <c:pt idx="19">
                  <c:v>1138</c:v>
                </c:pt>
                <c:pt idx="20">
                  <c:v>1133.5</c:v>
                </c:pt>
                <c:pt idx="21">
                  <c:v>777.5</c:v>
                </c:pt>
                <c:pt idx="22">
                  <c:v>584.5</c:v>
                </c:pt>
                <c:pt idx="23">
                  <c:v>396.25</c:v>
                </c:pt>
                <c:pt idx="24">
                  <c:v>452.25</c:v>
                </c:pt>
                <c:pt idx="25">
                  <c:v>656.25</c:v>
                </c:pt>
                <c:pt idx="26">
                  <c:v>832.25</c:v>
                </c:pt>
                <c:pt idx="27">
                  <c:v>1124.5</c:v>
                </c:pt>
                <c:pt idx="28">
                  <c:v>1192.75</c:v>
                </c:pt>
                <c:pt idx="29">
                  <c:v>1199</c:v>
                </c:pt>
                <c:pt idx="30">
                  <c:v>982.75</c:v>
                </c:pt>
                <c:pt idx="31">
                  <c:v>924</c:v>
                </c:pt>
                <c:pt idx="32">
                  <c:v>661.75</c:v>
                </c:pt>
                <c:pt idx="33">
                  <c:v>797.5</c:v>
                </c:pt>
                <c:pt idx="34">
                  <c:v>910.25</c:v>
                </c:pt>
                <c:pt idx="35">
                  <c:v>858</c:v>
                </c:pt>
                <c:pt idx="36">
                  <c:v>987.5</c:v>
                </c:pt>
                <c:pt idx="37">
                  <c:v>937</c:v>
                </c:pt>
                <c:pt idx="38">
                  <c:v>989.5</c:v>
                </c:pt>
                <c:pt idx="39">
                  <c:v>832.75</c:v>
                </c:pt>
                <c:pt idx="40">
                  <c:v>1120.75</c:v>
                </c:pt>
                <c:pt idx="41">
                  <c:v>862.5</c:v>
                </c:pt>
                <c:pt idx="42">
                  <c:v>552.5</c:v>
                </c:pt>
                <c:pt idx="43">
                  <c:v>863.5</c:v>
                </c:pt>
                <c:pt idx="44">
                  <c:v>656</c:v>
                </c:pt>
                <c:pt idx="45">
                  <c:v>819.75</c:v>
                </c:pt>
                <c:pt idx="46">
                  <c:v>699.25</c:v>
                </c:pt>
              </c:numCache>
            </c:numRef>
          </c:val>
          <c:smooth val="0"/>
          <c:extLst>
            <c:ext xmlns:c16="http://schemas.microsoft.com/office/drawing/2014/chart" uri="{C3380CC4-5D6E-409C-BE32-E72D297353CC}">
              <c16:uniqueId val="{00000005-86E5-480A-A67B-A5A9A88001EA}"/>
            </c:ext>
          </c:extLst>
        </c:ser>
        <c:dLbls>
          <c:showLegendKey val="0"/>
          <c:showVal val="0"/>
          <c:showCatName val="0"/>
          <c:showSerName val="0"/>
          <c:showPercent val="0"/>
          <c:showBubbleSize val="0"/>
        </c:dLbls>
        <c:smooth val="0"/>
        <c:axId val="632489960"/>
        <c:axId val="632492120"/>
      </c:lineChart>
      <c:dateAx>
        <c:axId val="632489960"/>
        <c:scaling>
          <c:orientation val="minMax"/>
        </c:scaling>
        <c:delete val="0"/>
        <c:axPos val="b"/>
        <c:numFmt formatCode="m/d/yy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492120"/>
        <c:crosses val="autoZero"/>
        <c:auto val="1"/>
        <c:lblOffset val="100"/>
        <c:baseTimeUnit val="days"/>
      </c:dateAx>
      <c:valAx>
        <c:axId val="632492120"/>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2489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US"/>
              <a:t>Net Growth vs Ad Spend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'Engagement Summary'!$H$1</c:f>
              <c:strCache>
                <c:ptCount val="1"/>
                <c:pt idx="0">
                  <c:v>Net Growth</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'Engagement Summary'!$G$2:$G$1000</c:f>
              <c:numCache>
                <c:formatCode>"₹"\ #,##0</c:formatCode>
                <c:ptCount val="999"/>
                <c:pt idx="0">
                  <c:v>5904</c:v>
                </c:pt>
                <c:pt idx="1">
                  <c:v>9566</c:v>
                </c:pt>
                <c:pt idx="2">
                  <c:v>26752</c:v>
                </c:pt>
                <c:pt idx="3">
                  <c:v>30671</c:v>
                </c:pt>
                <c:pt idx="4">
                  <c:v>9920</c:v>
                </c:pt>
                <c:pt idx="5">
                  <c:v>7924</c:v>
                </c:pt>
                <c:pt idx="6">
                  <c:v>8912</c:v>
                </c:pt>
                <c:pt idx="7">
                  <c:v>21205</c:v>
                </c:pt>
                <c:pt idx="8">
                  <c:v>11329</c:v>
                </c:pt>
                <c:pt idx="9">
                  <c:v>46670</c:v>
                </c:pt>
                <c:pt idx="10">
                  <c:v>22482</c:v>
                </c:pt>
                <c:pt idx="11">
                  <c:v>24313</c:v>
                </c:pt>
                <c:pt idx="12">
                  <c:v>18050</c:v>
                </c:pt>
                <c:pt idx="13">
                  <c:v>30635</c:v>
                </c:pt>
                <c:pt idx="14">
                  <c:v>31280</c:v>
                </c:pt>
                <c:pt idx="15">
                  <c:v>1783</c:v>
                </c:pt>
                <c:pt idx="16">
                  <c:v>9566</c:v>
                </c:pt>
                <c:pt idx="17">
                  <c:v>42307</c:v>
                </c:pt>
                <c:pt idx="18">
                  <c:v>5914</c:v>
                </c:pt>
                <c:pt idx="19">
                  <c:v>30060</c:v>
                </c:pt>
                <c:pt idx="20">
                  <c:v>22728</c:v>
                </c:pt>
                <c:pt idx="21">
                  <c:v>38610</c:v>
                </c:pt>
                <c:pt idx="22">
                  <c:v>2932</c:v>
                </c:pt>
                <c:pt idx="23">
                  <c:v>15071</c:v>
                </c:pt>
                <c:pt idx="24">
                  <c:v>10740</c:v>
                </c:pt>
                <c:pt idx="25">
                  <c:v>43420</c:v>
                </c:pt>
                <c:pt idx="26">
                  <c:v>32393</c:v>
                </c:pt>
                <c:pt idx="27">
                  <c:v>28474</c:v>
                </c:pt>
                <c:pt idx="28">
                  <c:v>17328</c:v>
                </c:pt>
                <c:pt idx="29">
                  <c:v>26067</c:v>
                </c:pt>
                <c:pt idx="30">
                  <c:v>32763</c:v>
                </c:pt>
                <c:pt idx="31">
                  <c:v>26452</c:v>
                </c:pt>
                <c:pt idx="32">
                  <c:v>15353</c:v>
                </c:pt>
                <c:pt idx="33">
                  <c:v>4839</c:v>
                </c:pt>
                <c:pt idx="34">
                  <c:v>39272</c:v>
                </c:pt>
                <c:pt idx="35">
                  <c:v>16804</c:v>
                </c:pt>
                <c:pt idx="36">
                  <c:v>49303</c:v>
                </c:pt>
                <c:pt idx="37">
                  <c:v>26455</c:v>
                </c:pt>
                <c:pt idx="38">
                  <c:v>12384</c:v>
                </c:pt>
                <c:pt idx="39">
                  <c:v>49372</c:v>
                </c:pt>
                <c:pt idx="40">
                  <c:v>47101</c:v>
                </c:pt>
                <c:pt idx="41">
                  <c:v>37903</c:v>
                </c:pt>
                <c:pt idx="42">
                  <c:v>33258</c:v>
                </c:pt>
                <c:pt idx="43">
                  <c:v>6915</c:v>
                </c:pt>
                <c:pt idx="44">
                  <c:v>35501</c:v>
                </c:pt>
                <c:pt idx="45">
                  <c:v>14203</c:v>
                </c:pt>
                <c:pt idx="46">
                  <c:v>22206</c:v>
                </c:pt>
                <c:pt idx="47">
                  <c:v>10283</c:v>
                </c:pt>
                <c:pt idx="48">
                  <c:v>24913</c:v>
                </c:pt>
                <c:pt idx="49">
                  <c:v>26925</c:v>
                </c:pt>
                <c:pt idx="50">
                  <c:v>9942</c:v>
                </c:pt>
                <c:pt idx="51">
                  <c:v>32929</c:v>
                </c:pt>
                <c:pt idx="52">
                  <c:v>37829</c:v>
                </c:pt>
                <c:pt idx="53">
                  <c:v>24384</c:v>
                </c:pt>
                <c:pt idx="54">
                  <c:v>25797</c:v>
                </c:pt>
                <c:pt idx="55">
                  <c:v>12646</c:v>
                </c:pt>
                <c:pt idx="56">
                  <c:v>26663</c:v>
                </c:pt>
                <c:pt idx="57">
                  <c:v>40478</c:v>
                </c:pt>
                <c:pt idx="58">
                  <c:v>15476</c:v>
                </c:pt>
                <c:pt idx="59">
                  <c:v>10217</c:v>
                </c:pt>
                <c:pt idx="60">
                  <c:v>21939</c:v>
                </c:pt>
                <c:pt idx="61">
                  <c:v>47462</c:v>
                </c:pt>
                <c:pt idx="62">
                  <c:v>30270</c:v>
                </c:pt>
                <c:pt idx="63">
                  <c:v>5442</c:v>
                </c:pt>
                <c:pt idx="64">
                  <c:v>1083</c:v>
                </c:pt>
                <c:pt idx="65">
                  <c:v>11901</c:v>
                </c:pt>
                <c:pt idx="66">
                  <c:v>24018</c:v>
                </c:pt>
                <c:pt idx="67">
                  <c:v>38883</c:v>
                </c:pt>
                <c:pt idx="68">
                  <c:v>30575</c:v>
                </c:pt>
                <c:pt idx="69">
                  <c:v>2315</c:v>
                </c:pt>
                <c:pt idx="70">
                  <c:v>12148</c:v>
                </c:pt>
                <c:pt idx="71">
                  <c:v>36851</c:v>
                </c:pt>
                <c:pt idx="72">
                  <c:v>41215</c:v>
                </c:pt>
                <c:pt idx="73">
                  <c:v>43836</c:v>
                </c:pt>
                <c:pt idx="74">
                  <c:v>4509</c:v>
                </c:pt>
                <c:pt idx="75">
                  <c:v>27822</c:v>
                </c:pt>
                <c:pt idx="76">
                  <c:v>36397</c:v>
                </c:pt>
                <c:pt idx="77">
                  <c:v>7285</c:v>
                </c:pt>
                <c:pt idx="78">
                  <c:v>33174</c:v>
                </c:pt>
                <c:pt idx="79">
                  <c:v>6742</c:v>
                </c:pt>
                <c:pt idx="80">
                  <c:v>32478</c:v>
                </c:pt>
                <c:pt idx="81">
                  <c:v>42824</c:v>
                </c:pt>
                <c:pt idx="82">
                  <c:v>21208</c:v>
                </c:pt>
                <c:pt idx="83">
                  <c:v>44321</c:v>
                </c:pt>
                <c:pt idx="84">
                  <c:v>13116</c:v>
                </c:pt>
                <c:pt idx="85">
                  <c:v>30214</c:v>
                </c:pt>
                <c:pt idx="86">
                  <c:v>15827</c:v>
                </c:pt>
                <c:pt idx="87">
                  <c:v>46643</c:v>
                </c:pt>
                <c:pt idx="88">
                  <c:v>36484</c:v>
                </c:pt>
                <c:pt idx="89">
                  <c:v>4996</c:v>
                </c:pt>
                <c:pt idx="90">
                  <c:v>36095</c:v>
                </c:pt>
                <c:pt idx="91">
                  <c:v>16443</c:v>
                </c:pt>
                <c:pt idx="92">
                  <c:v>47812</c:v>
                </c:pt>
                <c:pt idx="93">
                  <c:v>38452</c:v>
                </c:pt>
                <c:pt idx="94">
                  <c:v>30428</c:v>
                </c:pt>
                <c:pt idx="95">
                  <c:v>9269</c:v>
                </c:pt>
                <c:pt idx="96">
                  <c:v>29533</c:v>
                </c:pt>
                <c:pt idx="97">
                  <c:v>39997</c:v>
                </c:pt>
                <c:pt idx="98">
                  <c:v>5391</c:v>
                </c:pt>
                <c:pt idx="99">
                  <c:v>22373</c:v>
                </c:pt>
                <c:pt idx="100">
                  <c:v>1810</c:v>
                </c:pt>
                <c:pt idx="101">
                  <c:v>28498</c:v>
                </c:pt>
                <c:pt idx="102">
                  <c:v>39530</c:v>
                </c:pt>
                <c:pt idx="103">
                  <c:v>37876</c:v>
                </c:pt>
                <c:pt idx="104">
                  <c:v>36103</c:v>
                </c:pt>
                <c:pt idx="105">
                  <c:v>26103</c:v>
                </c:pt>
                <c:pt idx="106">
                  <c:v>3455</c:v>
                </c:pt>
                <c:pt idx="107">
                  <c:v>40888</c:v>
                </c:pt>
                <c:pt idx="108">
                  <c:v>22724</c:v>
                </c:pt>
                <c:pt idx="109">
                  <c:v>18601</c:v>
                </c:pt>
                <c:pt idx="110">
                  <c:v>20861</c:v>
                </c:pt>
                <c:pt idx="111">
                  <c:v>46625</c:v>
                </c:pt>
                <c:pt idx="112">
                  <c:v>20692</c:v>
                </c:pt>
                <c:pt idx="113">
                  <c:v>18656</c:v>
                </c:pt>
                <c:pt idx="114">
                  <c:v>13316</c:v>
                </c:pt>
                <c:pt idx="115">
                  <c:v>49558</c:v>
                </c:pt>
                <c:pt idx="116">
                  <c:v>4683</c:v>
                </c:pt>
                <c:pt idx="117">
                  <c:v>47502</c:v>
                </c:pt>
                <c:pt idx="118">
                  <c:v>35359</c:v>
                </c:pt>
                <c:pt idx="119">
                  <c:v>14154</c:v>
                </c:pt>
                <c:pt idx="120">
                  <c:v>4313</c:v>
                </c:pt>
                <c:pt idx="121">
                  <c:v>25140</c:v>
                </c:pt>
                <c:pt idx="122">
                  <c:v>9118</c:v>
                </c:pt>
                <c:pt idx="123">
                  <c:v>39931</c:v>
                </c:pt>
                <c:pt idx="124">
                  <c:v>37132</c:v>
                </c:pt>
                <c:pt idx="125">
                  <c:v>17951</c:v>
                </c:pt>
                <c:pt idx="126">
                  <c:v>2798</c:v>
                </c:pt>
                <c:pt idx="127">
                  <c:v>15045</c:v>
                </c:pt>
                <c:pt idx="128">
                  <c:v>14548</c:v>
                </c:pt>
                <c:pt idx="129">
                  <c:v>45708</c:v>
                </c:pt>
                <c:pt idx="130">
                  <c:v>12350</c:v>
                </c:pt>
                <c:pt idx="131">
                  <c:v>40868</c:v>
                </c:pt>
                <c:pt idx="132">
                  <c:v>43122</c:v>
                </c:pt>
                <c:pt idx="133">
                  <c:v>23853</c:v>
                </c:pt>
                <c:pt idx="134">
                  <c:v>45380</c:v>
                </c:pt>
                <c:pt idx="135">
                  <c:v>7705</c:v>
                </c:pt>
                <c:pt idx="136">
                  <c:v>25525</c:v>
                </c:pt>
                <c:pt idx="137">
                  <c:v>20560</c:v>
                </c:pt>
                <c:pt idx="138">
                  <c:v>19119</c:v>
                </c:pt>
                <c:pt idx="139">
                  <c:v>43999</c:v>
                </c:pt>
                <c:pt idx="140">
                  <c:v>10825</c:v>
                </c:pt>
                <c:pt idx="141">
                  <c:v>40323</c:v>
                </c:pt>
                <c:pt idx="142">
                  <c:v>48270</c:v>
                </c:pt>
                <c:pt idx="143">
                  <c:v>18001</c:v>
                </c:pt>
                <c:pt idx="144">
                  <c:v>3314</c:v>
                </c:pt>
                <c:pt idx="145">
                  <c:v>23489</c:v>
                </c:pt>
                <c:pt idx="146">
                  <c:v>42832</c:v>
                </c:pt>
                <c:pt idx="147">
                  <c:v>24494</c:v>
                </c:pt>
                <c:pt idx="148">
                  <c:v>44097</c:v>
                </c:pt>
                <c:pt idx="149">
                  <c:v>31853</c:v>
                </c:pt>
                <c:pt idx="150">
                  <c:v>37636</c:v>
                </c:pt>
                <c:pt idx="151">
                  <c:v>22996</c:v>
                </c:pt>
                <c:pt idx="152">
                  <c:v>49772</c:v>
                </c:pt>
                <c:pt idx="153">
                  <c:v>22713</c:v>
                </c:pt>
                <c:pt idx="154">
                  <c:v>8718</c:v>
                </c:pt>
                <c:pt idx="155">
                  <c:v>39031</c:v>
                </c:pt>
                <c:pt idx="156">
                  <c:v>33799</c:v>
                </c:pt>
                <c:pt idx="157">
                  <c:v>20553</c:v>
                </c:pt>
                <c:pt idx="158">
                  <c:v>10002</c:v>
                </c:pt>
                <c:pt idx="159">
                  <c:v>30987</c:v>
                </c:pt>
                <c:pt idx="160">
                  <c:v>6296</c:v>
                </c:pt>
                <c:pt idx="161">
                  <c:v>21539</c:v>
                </c:pt>
                <c:pt idx="162">
                  <c:v>14722</c:v>
                </c:pt>
                <c:pt idx="163">
                  <c:v>11383</c:v>
                </c:pt>
                <c:pt idx="164">
                  <c:v>9480</c:v>
                </c:pt>
                <c:pt idx="165">
                  <c:v>29116</c:v>
                </c:pt>
                <c:pt idx="166">
                  <c:v>14068</c:v>
                </c:pt>
                <c:pt idx="167">
                  <c:v>35801</c:v>
                </c:pt>
                <c:pt idx="168">
                  <c:v>49077</c:v>
                </c:pt>
                <c:pt idx="169">
                  <c:v>21453</c:v>
                </c:pt>
                <c:pt idx="170">
                  <c:v>21061</c:v>
                </c:pt>
                <c:pt idx="171">
                  <c:v>20059</c:v>
                </c:pt>
                <c:pt idx="172">
                  <c:v>23140</c:v>
                </c:pt>
                <c:pt idx="173">
                  <c:v>23461</c:v>
                </c:pt>
                <c:pt idx="174">
                  <c:v>11805</c:v>
                </c:pt>
                <c:pt idx="175">
                  <c:v>15969</c:v>
                </c:pt>
                <c:pt idx="176">
                  <c:v>2436</c:v>
                </c:pt>
                <c:pt idx="177">
                  <c:v>47603</c:v>
                </c:pt>
                <c:pt idx="178">
                  <c:v>42964</c:v>
                </c:pt>
                <c:pt idx="179">
                  <c:v>39923</c:v>
                </c:pt>
                <c:pt idx="180">
                  <c:v>2293</c:v>
                </c:pt>
                <c:pt idx="181">
                  <c:v>25920</c:v>
                </c:pt>
                <c:pt idx="182">
                  <c:v>11035</c:v>
                </c:pt>
                <c:pt idx="183">
                  <c:v>20733</c:v>
                </c:pt>
                <c:pt idx="184">
                  <c:v>18693</c:v>
                </c:pt>
                <c:pt idx="185">
                  <c:v>7875</c:v>
                </c:pt>
                <c:pt idx="186">
                  <c:v>8471</c:v>
                </c:pt>
                <c:pt idx="187">
                  <c:v>14090</c:v>
                </c:pt>
                <c:pt idx="188">
                  <c:v>14216</c:v>
                </c:pt>
                <c:pt idx="189">
                  <c:v>3582</c:v>
                </c:pt>
                <c:pt idx="190">
                  <c:v>32500</c:v>
                </c:pt>
                <c:pt idx="191">
                  <c:v>6832</c:v>
                </c:pt>
                <c:pt idx="192">
                  <c:v>33381</c:v>
                </c:pt>
                <c:pt idx="193">
                  <c:v>48419</c:v>
                </c:pt>
                <c:pt idx="194">
                  <c:v>16149</c:v>
                </c:pt>
                <c:pt idx="195">
                  <c:v>7541</c:v>
                </c:pt>
                <c:pt idx="196">
                  <c:v>20042</c:v>
                </c:pt>
                <c:pt idx="197">
                  <c:v>49400</c:v>
                </c:pt>
                <c:pt idx="198">
                  <c:v>4007</c:v>
                </c:pt>
                <c:pt idx="199">
                  <c:v>12174</c:v>
                </c:pt>
              </c:numCache>
            </c:numRef>
          </c:xVal>
          <c:yVal>
            <c:numRef>
              <c:f>'Engagement Summary'!$H$2:$H$1000</c:f>
              <c:numCache>
                <c:formatCode>0</c:formatCode>
                <c:ptCount val="999"/>
                <c:pt idx="0">
                  <c:v>1047</c:v>
                </c:pt>
                <c:pt idx="1">
                  <c:v>1002</c:v>
                </c:pt>
                <c:pt idx="2">
                  <c:v>415</c:v>
                </c:pt>
                <c:pt idx="3">
                  <c:v>1090</c:v>
                </c:pt>
                <c:pt idx="4">
                  <c:v>517</c:v>
                </c:pt>
                <c:pt idx="5">
                  <c:v>1283</c:v>
                </c:pt>
                <c:pt idx="6">
                  <c:v>186</c:v>
                </c:pt>
                <c:pt idx="7">
                  <c:v>994</c:v>
                </c:pt>
                <c:pt idx="8">
                  <c:v>893</c:v>
                </c:pt>
                <c:pt idx="9">
                  <c:v>1382</c:v>
                </c:pt>
                <c:pt idx="10">
                  <c:v>1295</c:v>
                </c:pt>
                <c:pt idx="11">
                  <c:v>337</c:v>
                </c:pt>
                <c:pt idx="12">
                  <c:v>629</c:v>
                </c:pt>
                <c:pt idx="13">
                  <c:v>1670</c:v>
                </c:pt>
                <c:pt idx="14">
                  <c:v>835</c:v>
                </c:pt>
                <c:pt idx="15">
                  <c:v>-123</c:v>
                </c:pt>
                <c:pt idx="16">
                  <c:v>-219</c:v>
                </c:pt>
                <c:pt idx="17">
                  <c:v>64</c:v>
                </c:pt>
                <c:pt idx="18">
                  <c:v>1357</c:v>
                </c:pt>
                <c:pt idx="19">
                  <c:v>91</c:v>
                </c:pt>
                <c:pt idx="20">
                  <c:v>1672</c:v>
                </c:pt>
                <c:pt idx="21">
                  <c:v>309</c:v>
                </c:pt>
                <c:pt idx="22">
                  <c:v>547</c:v>
                </c:pt>
                <c:pt idx="23">
                  <c:v>514</c:v>
                </c:pt>
                <c:pt idx="24">
                  <c:v>1845</c:v>
                </c:pt>
                <c:pt idx="25">
                  <c:v>-164</c:v>
                </c:pt>
                <c:pt idx="26">
                  <c:v>429</c:v>
                </c:pt>
                <c:pt idx="27">
                  <c:v>160</c:v>
                </c:pt>
                <c:pt idx="28">
                  <c:v>159</c:v>
                </c:pt>
                <c:pt idx="29">
                  <c:v>961</c:v>
                </c:pt>
                <c:pt idx="30">
                  <c:v>1316</c:v>
                </c:pt>
                <c:pt idx="31">
                  <c:v>317</c:v>
                </c:pt>
                <c:pt idx="32">
                  <c:v>541</c:v>
                </c:pt>
                <c:pt idx="33">
                  <c:v>-318</c:v>
                </c:pt>
                <c:pt idx="34">
                  <c:v>1495</c:v>
                </c:pt>
                <c:pt idx="35">
                  <c:v>475</c:v>
                </c:pt>
                <c:pt idx="36">
                  <c:v>352</c:v>
                </c:pt>
                <c:pt idx="37">
                  <c:v>-197</c:v>
                </c:pt>
                <c:pt idx="38">
                  <c:v>328</c:v>
                </c:pt>
                <c:pt idx="39">
                  <c:v>319</c:v>
                </c:pt>
                <c:pt idx="40">
                  <c:v>1325</c:v>
                </c:pt>
                <c:pt idx="41">
                  <c:v>1334</c:v>
                </c:pt>
                <c:pt idx="42">
                  <c:v>37</c:v>
                </c:pt>
                <c:pt idx="43">
                  <c:v>1032</c:v>
                </c:pt>
                <c:pt idx="44">
                  <c:v>76</c:v>
                </c:pt>
                <c:pt idx="45">
                  <c:v>1058</c:v>
                </c:pt>
                <c:pt idx="46">
                  <c:v>1665</c:v>
                </c:pt>
                <c:pt idx="47">
                  <c:v>190</c:v>
                </c:pt>
                <c:pt idx="48">
                  <c:v>1609</c:v>
                </c:pt>
                <c:pt idx="49">
                  <c:v>37</c:v>
                </c:pt>
                <c:pt idx="50">
                  <c:v>1229</c:v>
                </c:pt>
                <c:pt idx="51">
                  <c:v>28</c:v>
                </c:pt>
                <c:pt idx="52">
                  <c:v>1247</c:v>
                </c:pt>
                <c:pt idx="53">
                  <c:v>1045</c:v>
                </c:pt>
                <c:pt idx="54">
                  <c:v>197</c:v>
                </c:pt>
                <c:pt idx="55">
                  <c:v>333</c:v>
                </c:pt>
                <c:pt idx="56">
                  <c:v>1572</c:v>
                </c:pt>
                <c:pt idx="57">
                  <c:v>1428</c:v>
                </c:pt>
                <c:pt idx="58">
                  <c:v>260</c:v>
                </c:pt>
                <c:pt idx="59">
                  <c:v>1100</c:v>
                </c:pt>
                <c:pt idx="60">
                  <c:v>377</c:v>
                </c:pt>
                <c:pt idx="61">
                  <c:v>98</c:v>
                </c:pt>
                <c:pt idx="62">
                  <c:v>1125</c:v>
                </c:pt>
                <c:pt idx="63">
                  <c:v>-32</c:v>
                </c:pt>
                <c:pt idx="64">
                  <c:v>666</c:v>
                </c:pt>
                <c:pt idx="65">
                  <c:v>-19</c:v>
                </c:pt>
                <c:pt idx="66">
                  <c:v>1680</c:v>
                </c:pt>
                <c:pt idx="67">
                  <c:v>1006</c:v>
                </c:pt>
                <c:pt idx="68">
                  <c:v>1025</c:v>
                </c:pt>
                <c:pt idx="69">
                  <c:v>-179</c:v>
                </c:pt>
                <c:pt idx="70">
                  <c:v>599</c:v>
                </c:pt>
                <c:pt idx="71">
                  <c:v>1706</c:v>
                </c:pt>
                <c:pt idx="72">
                  <c:v>1872</c:v>
                </c:pt>
                <c:pt idx="73">
                  <c:v>1662</c:v>
                </c:pt>
                <c:pt idx="74">
                  <c:v>107</c:v>
                </c:pt>
                <c:pt idx="75">
                  <c:v>118</c:v>
                </c:pt>
                <c:pt idx="76">
                  <c:v>1224</c:v>
                </c:pt>
                <c:pt idx="77">
                  <c:v>285</c:v>
                </c:pt>
                <c:pt idx="78">
                  <c:v>-20</c:v>
                </c:pt>
                <c:pt idx="79">
                  <c:v>367</c:v>
                </c:pt>
                <c:pt idx="80">
                  <c:v>262</c:v>
                </c:pt>
                <c:pt idx="81">
                  <c:v>439</c:v>
                </c:pt>
                <c:pt idx="82">
                  <c:v>636</c:v>
                </c:pt>
                <c:pt idx="83">
                  <c:v>1484</c:v>
                </c:pt>
                <c:pt idx="84">
                  <c:v>576</c:v>
                </c:pt>
                <c:pt idx="85">
                  <c:v>386</c:v>
                </c:pt>
                <c:pt idx="86">
                  <c:v>37</c:v>
                </c:pt>
                <c:pt idx="87">
                  <c:v>1657</c:v>
                </c:pt>
                <c:pt idx="88">
                  <c:v>1397</c:v>
                </c:pt>
                <c:pt idx="89">
                  <c:v>540</c:v>
                </c:pt>
                <c:pt idx="90">
                  <c:v>1603</c:v>
                </c:pt>
                <c:pt idx="91">
                  <c:v>1044</c:v>
                </c:pt>
                <c:pt idx="92">
                  <c:v>902</c:v>
                </c:pt>
                <c:pt idx="93">
                  <c:v>-106</c:v>
                </c:pt>
                <c:pt idx="94">
                  <c:v>1150</c:v>
                </c:pt>
                <c:pt idx="95">
                  <c:v>349</c:v>
                </c:pt>
                <c:pt idx="96">
                  <c:v>-49</c:v>
                </c:pt>
                <c:pt idx="97">
                  <c:v>72</c:v>
                </c:pt>
                <c:pt idx="98">
                  <c:v>445</c:v>
                </c:pt>
                <c:pt idx="99">
                  <c:v>60</c:v>
                </c:pt>
                <c:pt idx="100">
                  <c:v>1693</c:v>
                </c:pt>
                <c:pt idx="101">
                  <c:v>1332</c:v>
                </c:pt>
                <c:pt idx="102">
                  <c:v>98</c:v>
                </c:pt>
                <c:pt idx="103">
                  <c:v>885</c:v>
                </c:pt>
                <c:pt idx="104">
                  <c:v>1625</c:v>
                </c:pt>
                <c:pt idx="105">
                  <c:v>1706</c:v>
                </c:pt>
                <c:pt idx="106">
                  <c:v>1173</c:v>
                </c:pt>
                <c:pt idx="107">
                  <c:v>291</c:v>
                </c:pt>
                <c:pt idx="108">
                  <c:v>1119</c:v>
                </c:pt>
                <c:pt idx="109">
                  <c:v>1373</c:v>
                </c:pt>
                <c:pt idx="110">
                  <c:v>1727</c:v>
                </c:pt>
                <c:pt idx="111">
                  <c:v>573</c:v>
                </c:pt>
                <c:pt idx="112">
                  <c:v>1432</c:v>
                </c:pt>
                <c:pt idx="113">
                  <c:v>1377</c:v>
                </c:pt>
                <c:pt idx="114">
                  <c:v>1359</c:v>
                </c:pt>
                <c:pt idx="115">
                  <c:v>876</c:v>
                </c:pt>
                <c:pt idx="116">
                  <c:v>684</c:v>
                </c:pt>
                <c:pt idx="117">
                  <c:v>730</c:v>
                </c:pt>
                <c:pt idx="118">
                  <c:v>911</c:v>
                </c:pt>
                <c:pt idx="119">
                  <c:v>1589</c:v>
                </c:pt>
                <c:pt idx="120">
                  <c:v>1765</c:v>
                </c:pt>
                <c:pt idx="121">
                  <c:v>1776</c:v>
                </c:pt>
                <c:pt idx="122">
                  <c:v>1529</c:v>
                </c:pt>
                <c:pt idx="123">
                  <c:v>1460</c:v>
                </c:pt>
                <c:pt idx="124">
                  <c:v>903</c:v>
                </c:pt>
                <c:pt idx="125">
                  <c:v>620</c:v>
                </c:pt>
                <c:pt idx="126">
                  <c:v>1188</c:v>
                </c:pt>
                <c:pt idx="127">
                  <c:v>846</c:v>
                </c:pt>
                <c:pt idx="128">
                  <c:v>1722</c:v>
                </c:pt>
                <c:pt idx="129">
                  <c:v>298</c:v>
                </c:pt>
                <c:pt idx="130">
                  <c:v>-144</c:v>
                </c:pt>
                <c:pt idx="131">
                  <c:v>901</c:v>
                </c:pt>
                <c:pt idx="132">
                  <c:v>1572</c:v>
                </c:pt>
                <c:pt idx="133">
                  <c:v>427</c:v>
                </c:pt>
                <c:pt idx="134">
                  <c:v>891</c:v>
                </c:pt>
                <c:pt idx="135">
                  <c:v>724</c:v>
                </c:pt>
                <c:pt idx="136">
                  <c:v>-166</c:v>
                </c:pt>
                <c:pt idx="137">
                  <c:v>898</c:v>
                </c:pt>
                <c:pt idx="138">
                  <c:v>1426</c:v>
                </c:pt>
                <c:pt idx="139">
                  <c:v>1225</c:v>
                </c:pt>
                <c:pt idx="140">
                  <c:v>1080</c:v>
                </c:pt>
                <c:pt idx="141">
                  <c:v>748</c:v>
                </c:pt>
                <c:pt idx="142">
                  <c:v>569</c:v>
                </c:pt>
                <c:pt idx="143">
                  <c:v>-203</c:v>
                </c:pt>
                <c:pt idx="144">
                  <c:v>1723</c:v>
                </c:pt>
                <c:pt idx="145">
                  <c:v>912</c:v>
                </c:pt>
                <c:pt idx="146">
                  <c:v>1202</c:v>
                </c:pt>
                <c:pt idx="147">
                  <c:v>1444</c:v>
                </c:pt>
                <c:pt idx="148">
                  <c:v>965</c:v>
                </c:pt>
                <c:pt idx="149">
                  <c:v>1590</c:v>
                </c:pt>
                <c:pt idx="150">
                  <c:v>-37</c:v>
                </c:pt>
                <c:pt idx="151">
                  <c:v>1175</c:v>
                </c:pt>
                <c:pt idx="152">
                  <c:v>1375</c:v>
                </c:pt>
                <c:pt idx="153">
                  <c:v>1707</c:v>
                </c:pt>
                <c:pt idx="154">
                  <c:v>708</c:v>
                </c:pt>
                <c:pt idx="155">
                  <c:v>1016</c:v>
                </c:pt>
                <c:pt idx="156">
                  <c:v>1315</c:v>
                </c:pt>
                <c:pt idx="157">
                  <c:v>-119</c:v>
                </c:pt>
                <c:pt idx="158">
                  <c:v>899</c:v>
                </c:pt>
                <c:pt idx="159">
                  <c:v>315</c:v>
                </c:pt>
                <c:pt idx="160">
                  <c:v>212</c:v>
                </c:pt>
                <c:pt idx="161">
                  <c:v>908</c:v>
                </c:pt>
                <c:pt idx="162">
                  <c:v>1350</c:v>
                </c:pt>
                <c:pt idx="163">
                  <c:v>1242</c:v>
                </c:pt>
                <c:pt idx="164">
                  <c:v>680</c:v>
                </c:pt>
                <c:pt idx="165">
                  <c:v>1116</c:v>
                </c:pt>
                <c:pt idx="166">
                  <c:v>861</c:v>
                </c:pt>
                <c:pt idx="167">
                  <c:v>1385</c:v>
                </c:pt>
                <c:pt idx="168">
                  <c:v>461</c:v>
                </c:pt>
                <c:pt idx="169">
                  <c:v>474</c:v>
                </c:pt>
                <c:pt idx="170">
                  <c:v>292</c:v>
                </c:pt>
                <c:pt idx="171">
                  <c:v>389</c:v>
                </c:pt>
                <c:pt idx="172">
                  <c:v>641</c:v>
                </c:pt>
                <c:pt idx="173">
                  <c:v>514</c:v>
                </c:pt>
                <c:pt idx="174">
                  <c:v>1676</c:v>
                </c:pt>
                <c:pt idx="175">
                  <c:v>1467</c:v>
                </c:pt>
                <c:pt idx="176">
                  <c:v>167</c:v>
                </c:pt>
                <c:pt idx="177">
                  <c:v>1029</c:v>
                </c:pt>
                <c:pt idx="178">
                  <c:v>1007</c:v>
                </c:pt>
                <c:pt idx="179">
                  <c:v>209</c:v>
                </c:pt>
                <c:pt idx="180">
                  <c:v>-160</c:v>
                </c:pt>
                <c:pt idx="181">
                  <c:v>-175</c:v>
                </c:pt>
                <c:pt idx="182">
                  <c:v>53</c:v>
                </c:pt>
                <c:pt idx="183">
                  <c:v>145</c:v>
                </c:pt>
                <c:pt idx="184">
                  <c:v>603</c:v>
                </c:pt>
                <c:pt idx="185">
                  <c:v>1045</c:v>
                </c:pt>
                <c:pt idx="186">
                  <c:v>759</c:v>
                </c:pt>
                <c:pt idx="187">
                  <c:v>1633</c:v>
                </c:pt>
                <c:pt idx="188">
                  <c:v>1539</c:v>
                </c:pt>
                <c:pt idx="189">
                  <c:v>453</c:v>
                </c:pt>
                <c:pt idx="190">
                  <c:v>948</c:v>
                </c:pt>
                <c:pt idx="191">
                  <c:v>637</c:v>
                </c:pt>
                <c:pt idx="192">
                  <c:v>1881</c:v>
                </c:pt>
                <c:pt idx="193">
                  <c:v>339</c:v>
                </c:pt>
                <c:pt idx="194">
                  <c:v>1510</c:v>
                </c:pt>
                <c:pt idx="195">
                  <c:v>864</c:v>
                </c:pt>
                <c:pt idx="196">
                  <c:v>1656</c:v>
                </c:pt>
                <c:pt idx="197">
                  <c:v>407</c:v>
                </c:pt>
                <c:pt idx="198">
                  <c:v>269</c:v>
                </c:pt>
                <c:pt idx="199">
                  <c:v>-337</c:v>
                </c:pt>
              </c:numCache>
            </c:numRef>
          </c:yVal>
          <c:smooth val="0"/>
          <c:extLst>
            <c:ext xmlns:c16="http://schemas.microsoft.com/office/drawing/2014/chart" uri="{C3380CC4-5D6E-409C-BE32-E72D297353CC}">
              <c16:uniqueId val="{00000002-4E93-4223-BEAD-28E15C6D7BA7}"/>
            </c:ext>
          </c:extLst>
        </c:ser>
        <c:dLbls>
          <c:showLegendKey val="0"/>
          <c:showVal val="0"/>
          <c:showCatName val="0"/>
          <c:showSerName val="0"/>
          <c:showPercent val="0"/>
          <c:showBubbleSize val="0"/>
        </c:dLbls>
        <c:axId val="687934824"/>
        <c:axId val="687930504"/>
      </c:scatterChart>
      <c:valAx>
        <c:axId val="68793482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Ad Spend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quot;₹&quot;\ #,##0"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7930504"/>
        <c:crosses val="autoZero"/>
        <c:crossBetween val="midCat"/>
      </c:valAx>
      <c:valAx>
        <c:axId val="68793050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Net</a:t>
                </a:r>
                <a:r>
                  <a:rPr lang="en-US" baseline="0"/>
                  <a:t> Growth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7934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7620</xdr:colOff>
      <xdr:row>3</xdr:row>
      <xdr:rowOff>7620</xdr:rowOff>
    </xdr:from>
    <xdr:to>
      <xdr:col>11</xdr:col>
      <xdr:colOff>601980</xdr:colOff>
      <xdr:row>8</xdr:row>
      <xdr:rowOff>137160</xdr:rowOff>
    </xdr:to>
    <xdr:sp macro="" textlink="">
      <xdr:nvSpPr>
        <xdr:cNvPr id="2" name="TextBox 1">
          <a:extLst>
            <a:ext uri="{FF2B5EF4-FFF2-40B4-BE49-F238E27FC236}">
              <a16:creationId xmlns:a16="http://schemas.microsoft.com/office/drawing/2014/main" id="{885DB68A-D60E-0825-23C2-05A5A42893F4}"/>
            </a:ext>
            <a:ext uri="{C183D7F6-B498-43B3-948B-1728B52AA6E4}">
              <adec:decorative xmlns:adec="http://schemas.microsoft.com/office/drawing/2017/decorative" val="0"/>
            </a:ext>
          </a:extLst>
        </xdr:cNvPr>
        <xdr:cNvSpPr txBox="1"/>
      </xdr:nvSpPr>
      <xdr:spPr>
        <a:xfrm>
          <a:off x="9128760" y="701040"/>
          <a:ext cx="3642360" cy="1043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Interpretation</a:t>
          </a:r>
          <a:r>
            <a:rPr lang="en-US" sz="1100"/>
            <a:t>: </a:t>
          </a:r>
        </a:p>
        <a:p>
          <a:r>
            <a:rPr lang="en-US" sz="1100" b="1"/>
            <a:t>&gt;</a:t>
          </a:r>
          <a:r>
            <a:rPr lang="en-US" sz="1100"/>
            <a:t> Even though</a:t>
          </a:r>
          <a:r>
            <a:rPr lang="en-US" sz="1100" baseline="0"/>
            <a:t> Facebook generated the highest </a:t>
          </a:r>
          <a:r>
            <a:rPr lang="en-US" sz="1100" b="1" baseline="0"/>
            <a:t>Total Engagement</a:t>
          </a:r>
          <a:r>
            <a:rPr lang="en-US" sz="1100" baseline="0"/>
            <a:t>, showing its scale advantage.</a:t>
          </a:r>
          <a:br>
            <a:rPr lang="en-US" sz="1100" baseline="0"/>
          </a:br>
          <a:r>
            <a:rPr lang="en-US" sz="1100" baseline="0"/>
            <a:t>&gt; However, Instagram posts had the </a:t>
          </a:r>
          <a:r>
            <a:rPr lang="en-US"/>
            <a:t>highest </a:t>
          </a:r>
          <a:r>
            <a:rPr lang="en-US" b="1"/>
            <a:t>Average Engagement_Rate</a:t>
          </a:r>
          <a:r>
            <a:rPr lang="en-US"/>
            <a:t>, showing deeper engagement per impression.</a:t>
          </a:r>
          <a:endParaRPr lang="en-US" sz="1100"/>
        </a:p>
      </xdr:txBody>
    </xdr:sp>
    <xdr:clientData/>
  </xdr:twoCellAnchor>
  <xdr:twoCellAnchor>
    <xdr:from>
      <xdr:col>9</xdr:col>
      <xdr:colOff>594360</xdr:colOff>
      <xdr:row>14</xdr:row>
      <xdr:rowOff>19050</xdr:rowOff>
    </xdr:from>
    <xdr:to>
      <xdr:col>17</xdr:col>
      <xdr:colOff>289560</xdr:colOff>
      <xdr:row>29</xdr:row>
      <xdr:rowOff>11430</xdr:rowOff>
    </xdr:to>
    <xdr:graphicFrame macro="">
      <xdr:nvGraphicFramePr>
        <xdr:cNvPr id="3" name="Chart 2">
          <a:extLst>
            <a:ext uri="{FF2B5EF4-FFF2-40B4-BE49-F238E27FC236}">
              <a16:creationId xmlns:a16="http://schemas.microsoft.com/office/drawing/2014/main" id="{3B963FFA-E5A9-4227-CA67-66A8E134C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38</xdr:row>
      <xdr:rowOff>0</xdr:rowOff>
    </xdr:from>
    <xdr:to>
      <xdr:col>5</xdr:col>
      <xdr:colOff>998220</xdr:colOff>
      <xdr:row>53</xdr:row>
      <xdr:rowOff>0</xdr:rowOff>
    </xdr:to>
    <xdr:graphicFrame macro="">
      <xdr:nvGraphicFramePr>
        <xdr:cNvPr id="4" name="Chart 3">
          <a:extLst>
            <a:ext uri="{FF2B5EF4-FFF2-40B4-BE49-F238E27FC236}">
              <a16:creationId xmlns:a16="http://schemas.microsoft.com/office/drawing/2014/main" id="{DA4BBDF1-2473-45C8-9C20-DE25A5428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xdr:colOff>
      <xdr:row>56</xdr:row>
      <xdr:rowOff>152400</xdr:rowOff>
    </xdr:from>
    <xdr:to>
      <xdr:col>8</xdr:col>
      <xdr:colOff>45720</xdr:colOff>
      <xdr:row>65</xdr:row>
      <xdr:rowOff>152400</xdr:rowOff>
    </xdr:to>
    <xdr:sp macro="" textlink="">
      <xdr:nvSpPr>
        <xdr:cNvPr id="6" name="TextBox 5">
          <a:extLst>
            <a:ext uri="{FF2B5EF4-FFF2-40B4-BE49-F238E27FC236}">
              <a16:creationId xmlns:a16="http://schemas.microsoft.com/office/drawing/2014/main" id="{0B057F1C-C88D-4A9C-AE9E-526F9CA96FD4}"/>
            </a:ext>
          </a:extLst>
        </xdr:cNvPr>
        <xdr:cNvSpPr txBox="1"/>
      </xdr:nvSpPr>
      <xdr:spPr>
        <a:xfrm>
          <a:off x="5074920" y="10568940"/>
          <a:ext cx="6835140" cy="2011680"/>
        </a:xfrm>
        <a:prstGeom prst="rect">
          <a:avLst/>
        </a:prstGeom>
        <a:ln>
          <a:noFill/>
        </a:ln>
        <a:effectLst>
          <a:outerShdw blurRad="50800" dist="38100" dir="10800000" algn="r" rotWithShape="0">
            <a:prstClr val="black">
              <a:alpha val="40000"/>
            </a:prstClr>
          </a:outerShdw>
        </a:effectLst>
        <a:scene3d>
          <a:camera prst="orthographicFront">
            <a:rot lat="0" lon="0" rev="0"/>
          </a:camera>
          <a:lightRig rig="contrasting" dir="t">
            <a:rot lat="0" lon="0" rev="7800000"/>
          </a:lightRig>
        </a:scene3d>
        <a:sp3d>
          <a:bevelT w="139700" h="139700"/>
        </a:sp3d>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1200" b="0" i="1">
              <a:solidFill>
                <a:schemeClr val="dk1"/>
              </a:solidFill>
              <a:effectLst/>
              <a:latin typeface="+mj-lt"/>
              <a:ea typeface="+mn-ea"/>
              <a:cs typeface="+mn-cs"/>
            </a:rPr>
            <a:t>Based on the engagement per rupee analysis, Instagram and Twitter outperform the other platforms in engagement efficiency, offering 0.23 and 0.24 engagements per rupee spent respectively. These platforms strike the best balance between cost and audience interaction.</a:t>
          </a:r>
        </a:p>
        <a:p>
          <a:r>
            <a:rPr lang="en-US" sz="1200" b="0" i="1">
              <a:solidFill>
                <a:schemeClr val="dk1"/>
              </a:solidFill>
              <a:effectLst/>
              <a:latin typeface="+mj-lt"/>
              <a:ea typeface="+mn-ea"/>
              <a:cs typeface="+mn-cs"/>
            </a:rPr>
            <a:t>Facebook, while yielding the highest total engagement, shows lower efficiency and requires the largest budget, suggesting potential for budget optimization by shifting focus.</a:t>
          </a:r>
        </a:p>
        <a:p>
          <a:r>
            <a:rPr lang="en-US" sz="1200" b="0" i="1">
              <a:solidFill>
                <a:schemeClr val="dk1"/>
              </a:solidFill>
              <a:effectLst/>
              <a:latin typeface="+mj-lt"/>
              <a:ea typeface="+mn-ea"/>
              <a:cs typeface="+mn-cs"/>
            </a:rPr>
            <a:t>YouTube’s relatively low engagement efficiency indicates that unless specific video-driven strategies are critical, resources would be better utilized on the more efficient platforms.</a:t>
          </a:r>
        </a:p>
        <a:p>
          <a:r>
            <a:rPr lang="en-US" sz="1200" b="0" i="1">
              <a:solidFill>
                <a:schemeClr val="dk1"/>
              </a:solidFill>
              <a:effectLst/>
              <a:latin typeface="+mj-lt"/>
              <a:ea typeface="+mn-ea"/>
              <a:cs typeface="+mn-cs"/>
            </a:rPr>
            <a:t>Therefore, focusing on Instagram and Twitter as core platforms is recommended to maximize return on investment, while maintaining a presence on Facebook strategically. Continuing a full multi-platform strategy may dilute effectiveness and budget focus.</a:t>
          </a:r>
        </a:p>
        <a:p>
          <a:endParaRPr lang="en-US" sz="1100">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32</xdr:row>
      <xdr:rowOff>22860</xdr:rowOff>
    </xdr:from>
    <xdr:to>
      <xdr:col>7</xdr:col>
      <xdr:colOff>708660</xdr:colOff>
      <xdr:row>40</xdr:row>
      <xdr:rowOff>175260</xdr:rowOff>
    </xdr:to>
    <xdr:sp macro="" textlink="">
      <xdr:nvSpPr>
        <xdr:cNvPr id="2" name="Rectangle: Rounded Corners 1">
          <a:extLst>
            <a:ext uri="{FF2B5EF4-FFF2-40B4-BE49-F238E27FC236}">
              <a16:creationId xmlns:a16="http://schemas.microsoft.com/office/drawing/2014/main" id="{CDC1F198-EB80-7852-39BE-3858BA65010B}"/>
            </a:ext>
          </a:extLst>
        </xdr:cNvPr>
        <xdr:cNvSpPr/>
      </xdr:nvSpPr>
      <xdr:spPr>
        <a:xfrm>
          <a:off x="5661660" y="6202680"/>
          <a:ext cx="4770120" cy="161544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US" sz="1100"/>
            <a:t>Based on Engagement Rate Analysis,</a:t>
          </a:r>
          <a:r>
            <a:rPr lang="en-US" sz="1100" baseline="0"/>
            <a:t> for Instagram we should prioritize video content as the Engagement Rate is high for it. On YouTube, Carousel outperforms videos and image indecating Pepsico should focus Carousel based campaigns and reevaluate its video strategy because it performs poorly for video. Whereas on Twitter, both Carousel and Image perform better compared to video so should be our primary focus. In case of Facebook, it shows uniform engagement across all platforms. Which suggest that Facebook should remain a secondary channel with limited investment.</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861060</xdr:colOff>
      <xdr:row>31</xdr:row>
      <xdr:rowOff>22860</xdr:rowOff>
    </xdr:from>
    <xdr:to>
      <xdr:col>11</xdr:col>
      <xdr:colOff>228600</xdr:colOff>
      <xdr:row>38</xdr:row>
      <xdr:rowOff>175260</xdr:rowOff>
    </xdr:to>
    <xdr:sp macro="" textlink="">
      <xdr:nvSpPr>
        <xdr:cNvPr id="2" name="Rectangle: Rounded Corners 1">
          <a:extLst>
            <a:ext uri="{FF2B5EF4-FFF2-40B4-BE49-F238E27FC236}">
              <a16:creationId xmlns:a16="http://schemas.microsoft.com/office/drawing/2014/main" id="{F1B4CF6D-C4BD-3BF3-226D-E2824CFF8451}"/>
            </a:ext>
          </a:extLst>
        </xdr:cNvPr>
        <xdr:cNvSpPr/>
      </xdr:nvSpPr>
      <xdr:spPr>
        <a:xfrm>
          <a:off x="9921240" y="6073140"/>
          <a:ext cx="3916680" cy="1447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Based on calculations, DailyWellness drove the highest </a:t>
          </a:r>
          <a:r>
            <a:rPr lang="en-US" sz="1200" b="1"/>
            <a:t>total net follower growth</a:t>
          </a:r>
          <a:r>
            <a:rPr lang="en-US" sz="1200"/>
            <a:t> of</a:t>
          </a:r>
          <a:r>
            <a:rPr lang="en-US" sz="1200" baseline="0"/>
            <a:t> 16000+</a:t>
          </a:r>
          <a:r>
            <a:rPr lang="en-US" sz="1200"/>
            <a:t>, while NewYearRefresh had the </a:t>
          </a:r>
          <a:r>
            <a:rPr lang="en-US" sz="1200" b="1"/>
            <a:t>highest average weekly growth</a:t>
          </a:r>
          <a:r>
            <a:rPr lang="en-US" sz="1200"/>
            <a:t> with</a:t>
          </a:r>
          <a:r>
            <a:rPr lang="en-US" sz="1200" baseline="0"/>
            <a:t> 4000+. </a:t>
          </a:r>
          <a:r>
            <a:rPr lang="en-US" sz="1200"/>
            <a:t>This shows that </a:t>
          </a:r>
          <a:r>
            <a:rPr lang="en-US" sz="1200">
              <a:solidFill>
                <a:schemeClr val="lt1"/>
              </a:solidFill>
              <a:effectLst/>
              <a:latin typeface="+mn-lt"/>
              <a:ea typeface="+mn-ea"/>
              <a:cs typeface="+mn-cs"/>
            </a:rPr>
            <a:t>DailyWellness</a:t>
          </a:r>
          <a:r>
            <a:rPr lang="en-US" sz="1200"/>
            <a:t> was most impactful overall, whereas </a:t>
          </a:r>
          <a:r>
            <a:rPr lang="en-US" sz="1200">
              <a:solidFill>
                <a:schemeClr val="lt1"/>
              </a:solidFill>
              <a:effectLst/>
              <a:latin typeface="+mn-lt"/>
              <a:ea typeface="+mn-ea"/>
              <a:cs typeface="+mn-cs"/>
            </a:rPr>
            <a:t>NewYearRefresh</a:t>
          </a:r>
          <a:r>
            <a:rPr lang="en-US" sz="1200"/>
            <a:t> was most efficient at driving rapid follower acquisition.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15240</xdr:colOff>
      <xdr:row>2</xdr:row>
      <xdr:rowOff>171450</xdr:rowOff>
    </xdr:from>
    <xdr:to>
      <xdr:col>22</xdr:col>
      <xdr:colOff>480840</xdr:colOff>
      <xdr:row>24</xdr:row>
      <xdr:rowOff>108090</xdr:rowOff>
    </xdr:to>
    <xdr:graphicFrame macro="">
      <xdr:nvGraphicFramePr>
        <xdr:cNvPr id="3" name="Chart 2">
          <a:extLst>
            <a:ext uri="{FF2B5EF4-FFF2-40B4-BE49-F238E27FC236}">
              <a16:creationId xmlns:a16="http://schemas.microsoft.com/office/drawing/2014/main" id="{48D95E28-8736-57A9-824D-AC9763784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58</xdr:row>
      <xdr:rowOff>53340</xdr:rowOff>
    </xdr:from>
    <xdr:to>
      <xdr:col>11</xdr:col>
      <xdr:colOff>586740</xdr:colOff>
      <xdr:row>63</xdr:row>
      <xdr:rowOff>91440</xdr:rowOff>
    </xdr:to>
    <xdr:sp macro="" textlink="">
      <xdr:nvSpPr>
        <xdr:cNvPr id="7" name="Rectangle: Rounded Corners 6">
          <a:extLst>
            <a:ext uri="{FF2B5EF4-FFF2-40B4-BE49-F238E27FC236}">
              <a16:creationId xmlns:a16="http://schemas.microsoft.com/office/drawing/2014/main" id="{6FF38569-8A3D-C068-E5CE-CC925F3555CF}"/>
            </a:ext>
          </a:extLst>
        </xdr:cNvPr>
        <xdr:cNvSpPr/>
      </xdr:nvSpPr>
      <xdr:spPr>
        <a:xfrm>
          <a:off x="9387840" y="10805160"/>
          <a:ext cx="378714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The analysis shows that the peak follower gain occurred during the week of May</a:t>
          </a:r>
          <a:r>
            <a:rPr lang="en-US" baseline="0"/>
            <a:t> 5th 2025</a:t>
          </a:r>
          <a:r>
            <a:rPr lang="en-US"/>
            <a:t> on Instagram with</a:t>
          </a:r>
          <a:r>
            <a:rPr lang="en-US" baseline="0"/>
            <a:t> 1881 followers</a:t>
          </a:r>
          <a:r>
            <a:rPr lang="en-US"/>
            <a:t>. This suggests that campaign activity during that week had the strongest impact in attracting new audiences.</a:t>
          </a:r>
          <a:endParaRPr lang="en-US" sz="1100"/>
        </a:p>
      </xdr:txBody>
    </xdr:sp>
    <xdr:clientData/>
  </xdr:twoCellAnchor>
  <xdr:twoCellAnchor>
    <xdr:from>
      <xdr:col>13</xdr:col>
      <xdr:colOff>999</xdr:colOff>
      <xdr:row>68</xdr:row>
      <xdr:rowOff>26483</xdr:rowOff>
    </xdr:from>
    <xdr:to>
      <xdr:col>23</xdr:col>
      <xdr:colOff>137160</xdr:colOff>
      <xdr:row>88</xdr:row>
      <xdr:rowOff>121920</xdr:rowOff>
    </xdr:to>
    <xdr:graphicFrame macro="">
      <xdr:nvGraphicFramePr>
        <xdr:cNvPr id="8" name="Chart 7">
          <a:extLst>
            <a:ext uri="{FF2B5EF4-FFF2-40B4-BE49-F238E27FC236}">
              <a16:creationId xmlns:a16="http://schemas.microsoft.com/office/drawing/2014/main" id="{037BD832-4D2E-4B78-B407-0F9B18C93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122</xdr:row>
      <xdr:rowOff>0</xdr:rowOff>
    </xdr:from>
    <xdr:to>
      <xdr:col>7</xdr:col>
      <xdr:colOff>617220</xdr:colOff>
      <xdr:row>137</xdr:row>
      <xdr:rowOff>0</xdr:rowOff>
    </xdr:to>
    <xdr:graphicFrame macro="">
      <xdr:nvGraphicFramePr>
        <xdr:cNvPr id="2" name="Chart 1">
          <a:extLst>
            <a:ext uri="{FF2B5EF4-FFF2-40B4-BE49-F238E27FC236}">
              <a16:creationId xmlns:a16="http://schemas.microsoft.com/office/drawing/2014/main" id="{AE52B7D8-E3A2-4B3E-A276-A1BCC2FA0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c0d5f70a2e5c3f0/Documents/Intershala%20Data/Excel%20Project/Social_Media_Analytics_Dataset.xlsx" TargetMode="External"/><Relationship Id="rId1" Type="http://schemas.openxmlformats.org/officeDocument/2006/relationships/externalLinkPath" Target="Social_Media_Analytics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vg_Engagement_Rate"/>
      <sheetName val="Summary of impressions1"/>
      <sheetName val="Avg_Clicks"/>
      <sheetName val="Sheet7"/>
      <sheetName val="Table1"/>
      <sheetName val="platform_eng"/>
      <sheetName val="ad_spend_vis"/>
      <sheetName val="task 4"/>
      <sheetName val="campaign_sum_avg"/>
      <sheetName val="Top_10_Posts"/>
      <sheetName val="ad_spend"/>
      <sheetName val="Sheet1"/>
      <sheetName val="task6part1"/>
      <sheetName val="task 6 part 2"/>
      <sheetName val="task 6 part 4"/>
      <sheetName val="Posts"/>
      <sheetName val="Engagement Summary"/>
      <sheetName val="Campaign Metadata"/>
    </sheetNames>
    <sheetDataSet>
      <sheetData sheetId="0"/>
      <sheetData sheetId="1"/>
      <sheetData sheetId="2"/>
      <sheetData sheetId="3"/>
      <sheetData sheetId="4"/>
      <sheetData sheetId="5"/>
      <sheetData sheetId="6">
        <row r="1">
          <cell r="D1" t="str">
            <v>Engagement_per_Rupee</v>
          </cell>
        </row>
        <row r="2">
          <cell r="A2" t="str">
            <v>Facebook</v>
          </cell>
          <cell r="D2">
            <v>0.22126376999852848</v>
          </cell>
        </row>
        <row r="3">
          <cell r="A3" t="str">
            <v>Instagram</v>
          </cell>
          <cell r="D3">
            <v>0.22636990036697863</v>
          </cell>
        </row>
        <row r="4">
          <cell r="A4" t="str">
            <v>Twitter</v>
          </cell>
          <cell r="D4">
            <v>0.24143283818562994</v>
          </cell>
        </row>
        <row r="5">
          <cell r="A5" t="str">
            <v>YouTube</v>
          </cell>
          <cell r="D5">
            <v>0.17331340897751754</v>
          </cell>
        </row>
      </sheetData>
      <sheetData sheetId="7"/>
      <sheetData sheetId="8"/>
      <sheetData sheetId="9"/>
      <sheetData sheetId="10"/>
      <sheetData sheetId="11"/>
      <sheetData sheetId="12"/>
      <sheetData sheetId="13"/>
      <sheetData sheetId="14"/>
      <sheetData sheetId="15"/>
      <sheetData sheetId="16"/>
      <sheetData sheetId="17"/>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5888.918759143518" createdVersion="8" refreshedVersion="8" minRefreshableVersion="3" recordCount="300" xr:uid="{97DA2413-9C40-4ABB-955F-8F8E707EEE29}">
  <cacheSource type="worksheet">
    <worksheetSource ref="A1:R301" sheet="Posts"/>
  </cacheSource>
  <cacheFields count="17">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Hashtags Used" numFmtId="0">
      <sharedItems/>
    </cacheField>
    <cacheField name="Hashtag 1" numFmtId="0">
      <sharedItems/>
    </cacheField>
    <cacheField name="Hashtag 2" numFmtId="0">
      <sharedItems containsBlank="1"/>
    </cacheField>
    <cacheField name="Hashtag 3" numFmtId="14">
      <sharedItems containsBlank="1"/>
    </cacheField>
    <cacheField name="Campaign_Name" numFmtId="0">
      <sharedItems count="5">
        <s v="SummerSplash"/>
        <s v="FestiveRadiance"/>
        <s v="NewYearRefresh"/>
        <s v="DailyWellness"/>
        <s v="Unassigned"/>
      </sharedItems>
    </cacheField>
    <cacheField name="Engagement_Rate" numFmtId="165">
      <sharedItems containsSemiMixedTypes="0" containsString="0"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5888.957217476855" createdVersion="8" refreshedVersion="8" minRefreshableVersion="3" recordCount="339" xr:uid="{C0C0C982-07F8-496E-8648-52678EDC3168}">
  <cacheSource type="worksheet">
    <worksheetSource name="Table2_1"/>
  </cacheSource>
  <cacheFields count="16">
    <cacheField name="Post ID" numFmtId="0">
      <sharedItems/>
    </cacheField>
    <cacheField name="Platform" numFmtId="0">
      <sharedItems count="4">
        <s v="Twitter"/>
        <s v="YouTube"/>
        <s v="Instagram"/>
        <s v="Facebook"/>
      </sharedItems>
    </cacheField>
    <cacheField name="Date" numFmtId="22">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Post Text" numFmtId="0">
      <sharedItems/>
    </cacheField>
    <cacheField name="Likes" numFmtId="0">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0">
      <sharedItems containsSemiMixedTypes="0" containsString="0" containsNumber="1" containsInteger="1" minValue="588" maxValue="98100"/>
    </cacheField>
    <cacheField name="Reach" numFmtId="0">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acheField>
    <cacheField name="Campaign_Name" numFmtId="0">
      <sharedItems/>
    </cacheField>
    <cacheField name="Engagement_Rate" numFmtId="0">
      <sharedItems containsSemiMixedTypes="0" containsString="0" containsNumber="1" minValue="5.2551586421122697E-2" maxValue="1.8129251700680271"/>
    </cacheField>
    <cacheField name="Attribute" numFmtId="0">
      <sharedItems/>
    </cacheField>
    <cacheField name="Hashtag" numFmtId="0">
      <sharedItems count="6">
        <s v="#LiveForNow"/>
        <s v="#AnytimeIsPepsiTime"/>
        <s v="#PepsiCoRefresh"/>
        <s v="#BetterWithPepsi"/>
        <s v="#ThirstyForMore"/>
        <s v="#SmoothLikeNitroPepsi"/>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5889.470982407409" createdVersion="8" refreshedVersion="8" minRefreshableVersion="3" recordCount="300" xr:uid="{00F507D2-3697-494B-AA5F-8B8AF731F993}">
  <cacheSource type="worksheet">
    <worksheetSource name="Table2"/>
  </cacheSource>
  <cacheFields count="18">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acheField>
    <cacheField name="Post Text" numFmtId="0">
      <sharedItems/>
    </cacheField>
    <cacheField name="Likes" numFmtId="1">
      <sharedItems containsSemiMixedTypes="0" containsString="0" containsNumber="1" containsInteger="1" minValue="53" maxValue="4941"/>
    </cacheField>
    <cacheField name="Shares" numFmtId="1">
      <sharedItems containsSemiMixedTypes="0" containsString="0" containsNumber="1" containsInteger="1" minValue="10" maxValue="983"/>
    </cacheField>
    <cacheField name="Comments" numFmtId="1">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Reach" numFmtId="1">
      <sharedItems containsSemiMixedTypes="0" containsString="0" containsNumber="1" containsInteger="1" minValue="7" maxValue="97772"/>
    </cacheField>
    <cacheField name="Clicks" numFmtId="1">
      <sharedItems containsSemiMixedTypes="0" containsString="0" containsNumber="1" containsInteger="1" minValue="10" maxValue="300"/>
    </cacheField>
    <cacheField name="Engagement" numFmtId="1">
      <sharedItems containsSemiMixedTypes="0" containsString="0" containsNumber="1" containsInteger="1" minValue="315" maxValue="6278"/>
    </cacheField>
    <cacheField name="Hashtags Used" numFmtId="0">
      <sharedItems/>
    </cacheField>
    <cacheField name="Hashtag 1" numFmtId="0">
      <sharedItems/>
    </cacheField>
    <cacheField name="Hashtag 2" numFmtId="0">
      <sharedItems containsBlank="1"/>
    </cacheField>
    <cacheField name="Hashtag 3" numFmtId="14">
      <sharedItems containsBlank="1"/>
    </cacheField>
    <cacheField name="Campaign_Name" numFmtId="0">
      <sharedItems/>
    </cacheField>
    <cacheField name="Engagement_Rate" numFmtId="9">
      <sharedItems containsSemiMixedTypes="0" containsString="0" containsNumber="1" minValue="5.2551586421122697E-2" maxValue="1.812925170068027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efreshedDate="45890.439716550929" createdVersion="8" refreshedVersion="8" minRefreshableVersion="3" recordCount="200" xr:uid="{8E262376-5AA6-48EF-AFD1-0651122A272C}">
  <cacheSource type="worksheet">
    <worksheetSource ref="A1:H201" sheet="Engagement Summary"/>
  </cacheSource>
  <cacheFields count="11">
    <cacheField name="Week_Start_Date" numFmtId="14">
      <sharedItems containsSemiMixedTypes="0" containsNonDate="0" containsDate="1" containsString="0" minDate="2024-06-03T00:00:00" maxDate="2025-05-13T00:00:00" count="50">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sharedItems>
      <fieldGroup par="10"/>
    </cacheField>
    <cacheField name="Platform" numFmtId="0">
      <sharedItems count="4">
        <s v="Instagram"/>
        <s v="Facebook"/>
        <s v="Twitter"/>
        <s v="YouTube"/>
      </sharedItems>
    </cacheField>
    <cacheField name="New_Followers" numFmtId="1">
      <sharedItems containsSemiMixedTypes="0" containsString="0" containsNumber="1" containsInteger="1" minValue="115" maxValue="1980"/>
    </cacheField>
    <cacheField name="Unfollows" numFmtId="1">
      <sharedItems containsSemiMixedTypes="0" containsString="0" containsNumber="1" containsInteger="1" minValue="20" maxValue="498"/>
    </cacheField>
    <cacheField name="Total_Followers" numFmtId="1">
      <sharedItems containsSemiMixedTypes="0" containsString="0" containsNumber="1" containsInteger="1" minValue="11435" maxValue="496982"/>
    </cacheField>
    <cacheField name="Engagement_Rate" numFmtId="2">
      <sharedItems containsSemiMixedTypes="0" containsString="0" containsNumber="1" minValue="1.53" maxValue="9.48"/>
    </cacheField>
    <cacheField name="Ad_Spend" numFmtId="164">
      <sharedItems containsSemiMixedTypes="0" containsString="0" containsNumber="1" containsInteger="1" minValue="1083" maxValue="49772"/>
    </cacheField>
    <cacheField name="Net Growth" numFmtId="1">
      <sharedItems containsSemiMixedTypes="0" containsString="0" containsNumber="1" containsInteger="1" minValue="-337" maxValue="1881"/>
    </cacheField>
    <cacheField name="Months (Week_Start_Date)" numFmtId="0" databaseField="0">
      <fieldGroup base="0">
        <rangePr groupBy="months" startDate="2024-06-03T00:00:00" endDate="2025-05-13T00:00:00"/>
        <groupItems count="14">
          <s v="&lt;03-06-2024"/>
          <s v="Jan"/>
          <s v="Feb"/>
          <s v="Mar"/>
          <s v="Apr"/>
          <s v="May"/>
          <s v="Jun"/>
          <s v="Jul"/>
          <s v="Aug"/>
          <s v="Sep"/>
          <s v="Oct"/>
          <s v="Nov"/>
          <s v="Dec"/>
          <s v="&gt;13-05-2025"/>
        </groupItems>
      </fieldGroup>
    </cacheField>
    <cacheField name="Quarters (Week_Start_Date)" numFmtId="0" databaseField="0">
      <fieldGroup base="0">
        <rangePr groupBy="quarters" startDate="2024-06-03T00:00:00" endDate="2025-05-13T00:00:00"/>
        <groupItems count="6">
          <s v="&lt;03-06-2024"/>
          <s v="Qtr1"/>
          <s v="Qtr2"/>
          <s v="Qtr3"/>
          <s v="Qtr4"/>
          <s v="&gt;13-05-2025"/>
        </groupItems>
      </fieldGroup>
    </cacheField>
    <cacheField name="Years (Week_Start_Date)" numFmtId="0" databaseField="0">
      <fieldGroup base="0">
        <rangePr groupBy="years" startDate="2024-06-03T00:00:00" endDate="2025-05-13T00:00:00"/>
        <groupItems count="4">
          <s v="&lt;03-06-2024"/>
          <s v="2024"/>
          <s v="2025"/>
          <s v="&gt;13-05-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d v="2024-12-23T00:00:00"/>
    <x v="0"/>
    <s v="Check out our latest reel on twitter!"/>
    <n v="1461"/>
    <n v="184"/>
    <n v="344"/>
    <n v="21915"/>
    <n v="21675"/>
    <n v="15"/>
    <s v="#LiveForNow,#AnytimeIsPepsiTime"/>
    <s v="#LiveForNow"/>
    <s v="#AnytimeIsPepsiTime"/>
    <m/>
    <x v="0"/>
    <n v="9.0759753593429152E-2"/>
  </r>
  <r>
    <s v="P002"/>
    <x v="0"/>
    <d v="2025-04-03T00:00:00"/>
    <x v="1"/>
    <s v="Check out our latest text on twitter!"/>
    <n v="4054"/>
    <n v="389"/>
    <n v="493"/>
    <n v="64864"/>
    <n v="64383"/>
    <n v="117"/>
    <s v="#PepsiCoRefresh,#BetterWithPepsi"/>
    <s v="#PepsiCoRefresh"/>
    <s v="#BetterWithPepsi"/>
    <m/>
    <x v="1"/>
    <n v="7.6097681302417369E-2"/>
  </r>
  <r>
    <s v="P003"/>
    <x v="1"/>
    <d v="2025-05-12T00:00:00"/>
    <x v="0"/>
    <s v="Check out our latest reel on youtube!"/>
    <n v="2795"/>
    <n v="105"/>
    <n v="49"/>
    <n v="53105"/>
    <n v="52307"/>
    <n v="204"/>
    <s v="#PepsiCoRefresh"/>
    <s v="#PepsiCoRefresh"/>
    <m/>
    <m/>
    <x v="2"/>
    <n v="5.5531494209584788E-2"/>
  </r>
  <r>
    <s v="P004"/>
    <x v="2"/>
    <d v="2024-08-12T00:00:00"/>
    <x v="2"/>
    <s v="Check out our latest story on instagram!"/>
    <n v="2404"/>
    <n v="363"/>
    <n v="138"/>
    <n v="19232"/>
    <n v="18636"/>
    <n v="128"/>
    <s v="#ThirstyForMore"/>
    <s v="#ThirstyForMore"/>
    <m/>
    <m/>
    <x v="3"/>
    <n v="0.15105033277870217"/>
  </r>
  <r>
    <s v="P005"/>
    <x v="1"/>
    <d v="2024-06-26T00:00:00"/>
    <x v="0"/>
    <s v="Check out our latest reel on youtube!"/>
    <n v="3557"/>
    <n v="687"/>
    <n v="424"/>
    <n v="71140"/>
    <n v="70701"/>
    <n v="224"/>
    <s v="#ThirstyForMore,#PepsiCoRefresh"/>
    <s v="#ThirstyForMore"/>
    <s v="#PepsiCoRefresh"/>
    <m/>
    <x v="0"/>
    <n v="6.5617093055946027E-2"/>
  </r>
  <r>
    <s v="P006"/>
    <x v="3"/>
    <d v="2024-10-31T00:00:00"/>
    <x v="3"/>
    <s v="Check out our latest carousel on facebook!"/>
    <n v="2945"/>
    <n v="930"/>
    <n v="355"/>
    <n v="23560"/>
    <n v="23275"/>
    <n v="256"/>
    <s v="#PepsiCoRefresh"/>
    <s v="#PepsiCoRefresh"/>
    <m/>
    <m/>
    <x v="1"/>
    <n v="0.17954159592529711"/>
  </r>
  <r>
    <s v="P007"/>
    <x v="0"/>
    <d v="2024-06-24T00:00:00"/>
    <x v="3"/>
    <s v="Check out our latest carousel on twitter!"/>
    <n v="3860"/>
    <n v="201"/>
    <n v="279"/>
    <n v="61760"/>
    <n v="61660"/>
    <n v="235"/>
    <s v="#PepsiCoRefresh"/>
    <s v="#PepsiCoRefresh"/>
    <m/>
    <m/>
    <x v="1"/>
    <n v="7.0272020725388601E-2"/>
  </r>
  <r>
    <s v="P008"/>
    <x v="1"/>
    <d v="2024-07-13T00:00:00"/>
    <x v="4"/>
    <s v="Check out our latest image on youtube!"/>
    <n v="3929"/>
    <n v="262"/>
    <n v="278"/>
    <n v="43219"/>
    <n v="42841"/>
    <n v="39"/>
    <s v="#ThirstyForMore"/>
    <s v="#ThirstyForMore"/>
    <m/>
    <m/>
    <x v="3"/>
    <n v="0.10340359564080613"/>
  </r>
  <r>
    <s v="P009"/>
    <x v="3"/>
    <d v="2024-08-30T00:00:00"/>
    <x v="1"/>
    <s v="Check out our latest text on facebook!"/>
    <n v="3784"/>
    <n v="808"/>
    <n v="404"/>
    <n v="56760"/>
    <n v="56343"/>
    <n v="131"/>
    <s v="#PepsiCoRefresh"/>
    <s v="#PepsiCoRefresh"/>
    <m/>
    <m/>
    <x v="1"/>
    <n v="8.8019732205778717E-2"/>
  </r>
  <r>
    <s v="P010"/>
    <x v="3"/>
    <d v="2025-03-11T00:00:00"/>
    <x v="4"/>
    <s v="Check out our latest image on facebook!"/>
    <n v="4241"/>
    <n v="902"/>
    <n v="47"/>
    <n v="72097"/>
    <n v="71598"/>
    <n v="167"/>
    <s v="#PepsiCoRefresh"/>
    <s v="#PepsiCoRefresh"/>
    <m/>
    <m/>
    <x v="1"/>
    <n v="7.198635172059864E-2"/>
  </r>
  <r>
    <s v="P011"/>
    <x v="2"/>
    <d v="2025-02-02T00:00:00"/>
    <x v="2"/>
    <s v="Check out our latest story on instagram!"/>
    <n v="1792"/>
    <n v="614"/>
    <n v="497"/>
    <n v="25088"/>
    <n v="24675"/>
    <n v="65"/>
    <s v="#LiveForNow"/>
    <s v="#LiveForNow"/>
    <m/>
    <m/>
    <x v="3"/>
    <n v="0.11571269132653061"/>
  </r>
  <r>
    <s v="P012"/>
    <x v="3"/>
    <d v="2024-07-21T00:00:00"/>
    <x v="0"/>
    <s v="Check out our latest reel on facebook!"/>
    <n v="1946"/>
    <n v="686"/>
    <n v="377"/>
    <n v="23352"/>
    <n v="22982"/>
    <n v="213"/>
    <s v="#LiveForNow"/>
    <s v="#LiveForNow"/>
    <m/>
    <m/>
    <x v="2"/>
    <n v="0.12885405960945528"/>
  </r>
  <r>
    <s v="P013"/>
    <x v="1"/>
    <d v="2024-11-18T00:00:00"/>
    <x v="3"/>
    <s v="Check out our latest carousel on youtube!"/>
    <n v="1171"/>
    <n v="286"/>
    <n v="231"/>
    <n v="22249"/>
    <n v="21282"/>
    <n v="114"/>
    <s v="#ThirstyForMore"/>
    <s v="#ThirstyForMore"/>
    <m/>
    <m/>
    <x v="0"/>
    <n v="7.5868578363072495E-2"/>
  </r>
  <r>
    <s v="P014"/>
    <x v="3"/>
    <d v="2025-02-16T00:00:00"/>
    <x v="2"/>
    <s v="Check out our latest story on facebook!"/>
    <n v="4242"/>
    <n v="555"/>
    <n v="131"/>
    <n v="33936"/>
    <n v="33802"/>
    <n v="265"/>
    <s v="#LiveForNow"/>
    <s v="#LiveForNow"/>
    <m/>
    <m/>
    <x v="4"/>
    <n v="0.14521452145214522"/>
  </r>
  <r>
    <s v="P015"/>
    <x v="3"/>
    <d v="2024-10-24T00:00:00"/>
    <x v="5"/>
    <s v="Check out our latest video on facebook!"/>
    <n v="3888"/>
    <n v="604"/>
    <n v="128"/>
    <n v="77760"/>
    <n v="77167"/>
    <n v="20"/>
    <s v="#LiveForNow"/>
    <s v="#LiveForNow"/>
    <m/>
    <m/>
    <x v="0"/>
    <n v="5.941358024691358E-2"/>
  </r>
  <r>
    <s v="P016"/>
    <x v="3"/>
    <d v="2024-08-26T00:00:00"/>
    <x v="1"/>
    <s v="Check out our latest text on facebook!"/>
    <n v="3452"/>
    <n v="377"/>
    <n v="360"/>
    <n v="55232"/>
    <n v="55075"/>
    <n v="87"/>
    <s v="#LiveForNow"/>
    <s v="#LiveForNow"/>
    <m/>
    <m/>
    <x v="2"/>
    <n v="7.5843713789107758E-2"/>
  </r>
  <r>
    <s v="P017"/>
    <x v="3"/>
    <d v="2025-05-05T00:00:00"/>
    <x v="1"/>
    <s v="Check out our latest text on facebook!"/>
    <n v="4441"/>
    <n v="511"/>
    <n v="70"/>
    <n v="53292"/>
    <n v="53082"/>
    <n v="159"/>
    <s v="#ThirstyForMore"/>
    <s v="#ThirstyForMore"/>
    <m/>
    <m/>
    <x v="3"/>
    <n v="9.4235532537716729E-2"/>
  </r>
  <r>
    <s v="P018"/>
    <x v="2"/>
    <d v="2024-08-19T00:00:00"/>
    <x v="0"/>
    <s v="Check out our latest reel on instagram!"/>
    <n v="3000"/>
    <n v="382"/>
    <n v="325"/>
    <n v="36000"/>
    <n v="35819"/>
    <n v="19"/>
    <s v="#LiveForNow"/>
    <s v="#LiveForNow"/>
    <m/>
    <m/>
    <x v="0"/>
    <n v="0.10297222222222223"/>
  </r>
  <r>
    <s v="P019"/>
    <x v="2"/>
    <d v="2024-06-23T00:00:00"/>
    <x v="5"/>
    <s v="Check out our latest video on instagram!"/>
    <n v="1071"/>
    <n v="519"/>
    <n v="22"/>
    <n v="16065"/>
    <n v="15865"/>
    <n v="103"/>
    <s v="#PepsiCoRefresh"/>
    <s v="#PepsiCoRefresh"/>
    <m/>
    <m/>
    <x v="3"/>
    <n v="0.10034235916588857"/>
  </r>
  <r>
    <s v="P020"/>
    <x v="2"/>
    <d v="2024-09-09T00:00:00"/>
    <x v="3"/>
    <s v="Check out our latest carousel on instagram!"/>
    <n v="4054"/>
    <n v="488"/>
    <n v="373"/>
    <n v="77026"/>
    <n v="76881"/>
    <n v="25"/>
    <s v="#PepsiCoRefresh"/>
    <s v="#PepsiCoRefresh"/>
    <m/>
    <m/>
    <x v="0"/>
    <n v="6.3809622724794221E-2"/>
  </r>
  <r>
    <s v="P021"/>
    <x v="2"/>
    <d v="2025-01-04T00:00:00"/>
    <x v="0"/>
    <s v="Check out our latest reel on instagram!"/>
    <n v="4838"/>
    <n v="640"/>
    <n v="128"/>
    <n v="72570"/>
    <n v="72396"/>
    <n v="83"/>
    <s v="#LiveForNow"/>
    <s v="#LiveForNow"/>
    <m/>
    <m/>
    <x v="3"/>
    <n v="7.7249552156538517E-2"/>
  </r>
  <r>
    <s v="P022"/>
    <x v="3"/>
    <d v="2025-02-27T00:00:00"/>
    <x v="1"/>
    <s v="Check out our latest text on facebook!"/>
    <n v="1570"/>
    <n v="187"/>
    <n v="260"/>
    <n v="25120"/>
    <n v="24613"/>
    <n v="133"/>
    <s v="#PepsiCoRefresh"/>
    <s v="#PepsiCoRefresh"/>
    <m/>
    <m/>
    <x v="3"/>
    <n v="8.0294585987261149E-2"/>
  </r>
  <r>
    <s v="P023"/>
    <x v="3"/>
    <d v="2024-11-06T00:00:00"/>
    <x v="5"/>
    <s v="Check out our latest video on facebook!"/>
    <n v="1606"/>
    <n v="547"/>
    <n v="316"/>
    <n v="32120"/>
    <n v="31736"/>
    <n v="225"/>
    <s v="#PepsiCoRefresh,#AnytimeIsPepsiTime"/>
    <s v="#PepsiCoRefresh"/>
    <s v="#AnytimeIsPepsiTime"/>
    <m/>
    <x v="1"/>
    <n v="7.6867995018679955E-2"/>
  </r>
  <r>
    <s v="P024"/>
    <x v="3"/>
    <d v="2025-01-23T00:00:00"/>
    <x v="5"/>
    <s v="Check out our latest video on facebook!"/>
    <n v="3961"/>
    <n v="761"/>
    <n v="131"/>
    <n v="67337"/>
    <n v="66615"/>
    <n v="161"/>
    <s v="#LiveForNow"/>
    <s v="#LiveForNow"/>
    <m/>
    <m/>
    <x v="2"/>
    <n v="7.2070332803659209E-2"/>
  </r>
  <r>
    <s v="P025"/>
    <x v="0"/>
    <d v="2025-04-10T00:00:00"/>
    <x v="3"/>
    <s v="Check out our latest carousel on twitter!"/>
    <n v="3128"/>
    <n v="211"/>
    <n v="197"/>
    <n v="59432"/>
    <n v="59182"/>
    <n v="238"/>
    <s v="#ThirstyForMore"/>
    <s v="#ThirstyForMore"/>
    <m/>
    <m/>
    <x v="4"/>
    <n v="5.9496567505720827E-2"/>
  </r>
  <r>
    <s v="P026"/>
    <x v="1"/>
    <d v="2025-04-05T00:00:00"/>
    <x v="0"/>
    <s v="Check out our latest reel on youtube!"/>
    <n v="3009"/>
    <n v="413"/>
    <n v="358"/>
    <n v="42126"/>
    <n v="41309"/>
    <n v="211"/>
    <s v="#LiveForNow"/>
    <s v="#LiveForNow"/>
    <m/>
    <m/>
    <x v="1"/>
    <n v="8.9730807577268201E-2"/>
  </r>
  <r>
    <s v="P027"/>
    <x v="1"/>
    <d v="2024-09-17T00:00:00"/>
    <x v="1"/>
    <s v="Check out our latest text on youtube!"/>
    <n v="2076"/>
    <n v="195"/>
    <n v="104"/>
    <n v="33216"/>
    <n v="32244"/>
    <n v="51"/>
    <s v="#LiveForNow"/>
    <s v="#LiveForNow"/>
    <m/>
    <m/>
    <x v="3"/>
    <n v="7.1501685934489398E-2"/>
  </r>
  <r>
    <s v="P028"/>
    <x v="2"/>
    <d v="2025-03-04T00:00:00"/>
    <x v="5"/>
    <s v="Check out our latest video on instagram!"/>
    <n v="432"/>
    <n v="624"/>
    <n v="123"/>
    <n v="6912"/>
    <n v="6259"/>
    <n v="79"/>
    <s v="#LiveForNow"/>
    <s v="#LiveForNow"/>
    <m/>
    <m/>
    <x v="3"/>
    <n v="0.17057291666666666"/>
  </r>
  <r>
    <s v="P029"/>
    <x v="2"/>
    <d v="2025-01-31T00:00:00"/>
    <x v="3"/>
    <s v="Check out our latest carousel on instagram!"/>
    <n v="2566"/>
    <n v="118"/>
    <n v="37"/>
    <n v="12830"/>
    <n v="12264"/>
    <n v="221"/>
    <s v="#LiveForNow"/>
    <s v="#LiveForNow"/>
    <m/>
    <m/>
    <x v="2"/>
    <n v="0.21208106001558846"/>
  </r>
  <r>
    <s v="P030"/>
    <x v="2"/>
    <d v="2025-02-25T00:00:00"/>
    <x v="5"/>
    <s v="Check out our latest video on instagram!"/>
    <n v="3095"/>
    <n v="39"/>
    <n v="78"/>
    <n v="55710"/>
    <n v="54808"/>
    <n v="93"/>
    <s v="#ThirstyForMore"/>
    <s v="#ThirstyForMore"/>
    <m/>
    <m/>
    <x v="4"/>
    <n v="5.7655717106444085E-2"/>
  </r>
  <r>
    <s v="P031"/>
    <x v="2"/>
    <d v="2024-12-16T00:00:00"/>
    <x v="1"/>
    <s v="Check out our latest text on instagram!"/>
    <n v="438"/>
    <n v="153"/>
    <n v="275"/>
    <n v="3066"/>
    <n v="2701"/>
    <n v="282"/>
    <s v="#PepsiCoRefresh"/>
    <s v="#PepsiCoRefresh"/>
    <m/>
    <m/>
    <x v="1"/>
    <n v="0.28245270711024134"/>
  </r>
  <r>
    <s v="P032"/>
    <x v="0"/>
    <d v="2024-07-31T00:00:00"/>
    <x v="3"/>
    <s v="Check out our latest carousel on twitter!"/>
    <n v="2278"/>
    <n v="10"/>
    <n v="321"/>
    <n v="13668"/>
    <n v="12676"/>
    <n v="275"/>
    <s v="#ThirstyForMore"/>
    <s v="#ThirstyForMore"/>
    <m/>
    <m/>
    <x v="0"/>
    <n v="0.19088381621305239"/>
  </r>
  <r>
    <s v="P033"/>
    <x v="3"/>
    <d v="2024-08-21T00:00:00"/>
    <x v="4"/>
    <s v="Check out our latest image on facebook!"/>
    <n v="1407"/>
    <n v="400"/>
    <n v="351"/>
    <n v="16884"/>
    <n v="15954"/>
    <n v="113"/>
    <s v="#PepsiCoRefresh"/>
    <s v="#PepsiCoRefresh"/>
    <m/>
    <m/>
    <x v="0"/>
    <n v="0.12781331438047855"/>
  </r>
  <r>
    <s v="P034"/>
    <x v="3"/>
    <d v="2025-03-26T00:00:00"/>
    <x v="1"/>
    <s v="Check out our latest text on facebook!"/>
    <n v="1652"/>
    <n v="89"/>
    <n v="357"/>
    <n v="29736"/>
    <n v="28771"/>
    <n v="215"/>
    <s v="#PepsiCoRefresh"/>
    <s v="#PepsiCoRefresh"/>
    <m/>
    <m/>
    <x v="2"/>
    <n v="7.055421038471886E-2"/>
  </r>
  <r>
    <s v="P035"/>
    <x v="2"/>
    <d v="2024-11-30T00:00:00"/>
    <x v="5"/>
    <s v="Check out our latest video on instagram!"/>
    <n v="3775"/>
    <n v="16"/>
    <n v="239"/>
    <n v="33975"/>
    <n v="33310"/>
    <n v="271"/>
    <s v="#LiveForNow"/>
    <s v="#LiveForNow"/>
    <m/>
    <m/>
    <x v="1"/>
    <n v="0.11861662987490802"/>
  </r>
  <r>
    <s v="P036"/>
    <x v="2"/>
    <d v="2025-04-19T00:00:00"/>
    <x v="2"/>
    <s v="Check out our latest story on instagram!"/>
    <n v="4518"/>
    <n v="285"/>
    <n v="383"/>
    <n v="67770"/>
    <n v="67621"/>
    <n v="31"/>
    <s v="#ThirstyForMore"/>
    <s v="#ThirstyForMore"/>
    <m/>
    <m/>
    <x v="1"/>
    <n v="7.6523535487678915E-2"/>
  </r>
  <r>
    <s v="P037"/>
    <x v="3"/>
    <d v="2025-01-06T00:00:00"/>
    <x v="3"/>
    <s v="Check out our latest carousel on facebook!"/>
    <n v="3024"/>
    <n v="925"/>
    <n v="350"/>
    <n v="24192"/>
    <n v="23518"/>
    <n v="36"/>
    <s v="#ThirstyForMore"/>
    <s v="#ThirstyForMore"/>
    <m/>
    <m/>
    <x v="1"/>
    <n v="0.17770337301587302"/>
  </r>
  <r>
    <s v="P038"/>
    <x v="1"/>
    <d v="2025-02-17T00:00:00"/>
    <x v="0"/>
    <s v="Check out our latest reel on youtube!"/>
    <n v="3138"/>
    <n v="123"/>
    <n v="291"/>
    <n v="28242"/>
    <n v="27550"/>
    <n v="87"/>
    <s v="#PepsiCoRefresh"/>
    <s v="#PepsiCoRefresh"/>
    <m/>
    <m/>
    <x v="3"/>
    <n v="0.12577012959422137"/>
  </r>
  <r>
    <s v="P039"/>
    <x v="3"/>
    <d v="2024-11-25T00:00:00"/>
    <x v="4"/>
    <s v="Check out our latest image on facebook!"/>
    <n v="3564"/>
    <n v="629"/>
    <n v="177"/>
    <n v="60588"/>
    <n v="59627"/>
    <n v="92"/>
    <s v="#PepsiCoRefresh"/>
    <s v="#PepsiCoRefresh"/>
    <m/>
    <m/>
    <x v="4"/>
    <n v="7.2126493695121141E-2"/>
  </r>
  <r>
    <s v="P040"/>
    <x v="0"/>
    <d v="2025-03-07T00:00:00"/>
    <x v="4"/>
    <s v="Check out our latest image on twitter!"/>
    <n v="4750"/>
    <n v="151"/>
    <n v="415"/>
    <n v="38000"/>
    <n v="37792"/>
    <n v="299"/>
    <s v="#ThirstyForMore"/>
    <s v="#ThirstyForMore"/>
    <m/>
    <m/>
    <x v="3"/>
    <n v="0.13989473684210527"/>
  </r>
  <r>
    <s v="P041"/>
    <x v="2"/>
    <d v="2025-03-08T00:00:00"/>
    <x v="0"/>
    <s v="Check out our latest reel on instagram!"/>
    <n v="456"/>
    <n v="629"/>
    <n v="428"/>
    <n v="8208"/>
    <n v="7377"/>
    <n v="205"/>
    <s v="#LiveForNow"/>
    <s v="#LiveForNow"/>
    <m/>
    <m/>
    <x v="3"/>
    <n v="0.18433235867446393"/>
  </r>
  <r>
    <s v="P042"/>
    <x v="1"/>
    <d v="2025-03-05T00:00:00"/>
    <x v="0"/>
    <s v="Check out our latest reel on youtube!"/>
    <n v="1543"/>
    <n v="820"/>
    <n v="333"/>
    <n v="12344"/>
    <n v="11496"/>
    <n v="241"/>
    <s v="#ThirstyForMore"/>
    <s v="#ThirstyForMore"/>
    <m/>
    <m/>
    <x v="4"/>
    <n v="0.21840570317563188"/>
  </r>
  <r>
    <s v="P043"/>
    <x v="2"/>
    <d v="2024-12-14T00:00:00"/>
    <x v="3"/>
    <s v="Check out our latest carousel on instagram!"/>
    <n v="2174"/>
    <n v="658"/>
    <n v="15"/>
    <n v="13044"/>
    <n v="12206"/>
    <n v="137"/>
    <s v="#PepsiCoRefresh"/>
    <s v="#PepsiCoRefresh"/>
    <m/>
    <m/>
    <x v="2"/>
    <n v="0.21826126954921804"/>
  </r>
  <r>
    <s v="P044"/>
    <x v="0"/>
    <d v="2025-03-02T00:00:00"/>
    <x v="4"/>
    <s v="Check out our latest image on twitter!"/>
    <n v="2358"/>
    <n v="784"/>
    <n v="344"/>
    <n v="35370"/>
    <n v="34475"/>
    <n v="216"/>
    <s v="#PepsiCoRefresh"/>
    <s v="#PepsiCoRefresh"/>
    <m/>
    <m/>
    <x v="4"/>
    <n v="9.8558100084817649E-2"/>
  </r>
  <r>
    <s v="P045"/>
    <x v="3"/>
    <d v="2024-11-01T00:00:00"/>
    <x v="5"/>
    <s v="Check out our latest video on facebook!"/>
    <n v="3371"/>
    <n v="106"/>
    <n v="327"/>
    <n v="50565"/>
    <n v="49816"/>
    <n v="176"/>
    <s v="#LiveForNow"/>
    <s v="#LiveForNow"/>
    <m/>
    <m/>
    <x v="0"/>
    <n v="7.5229902106199939E-2"/>
  </r>
  <r>
    <s v="P046"/>
    <x v="0"/>
    <d v="2025-05-02T00:00:00"/>
    <x v="5"/>
    <s v="Check out our latest video on twitter!"/>
    <n v="1108"/>
    <n v="177"/>
    <n v="212"/>
    <n v="8864"/>
    <n v="8710"/>
    <n v="97"/>
    <s v="#PepsiCoRefresh"/>
    <s v="#PepsiCoRefresh"/>
    <m/>
    <m/>
    <x v="3"/>
    <n v="0.16888537906137185"/>
  </r>
  <r>
    <s v="P047"/>
    <x v="0"/>
    <d v="2025-02-24T00:00:00"/>
    <x v="3"/>
    <s v="Check out our latest carousel on twitter!"/>
    <n v="2704"/>
    <n v="752"/>
    <n v="153"/>
    <n v="21632"/>
    <n v="20792"/>
    <n v="127"/>
    <s v="#LiveForNow"/>
    <s v="#LiveForNow"/>
    <m/>
    <m/>
    <x v="4"/>
    <n v="0.16683616863905326"/>
  </r>
  <r>
    <s v="P048"/>
    <x v="0"/>
    <d v="2025-03-11T00:00:00"/>
    <x v="2"/>
    <s v="Check out our latest story on twitter!"/>
    <n v="1950"/>
    <n v="295"/>
    <n v="478"/>
    <n v="37050"/>
    <n v="36272"/>
    <n v="119"/>
    <s v="#PepsiCoRefresh"/>
    <s v="#PepsiCoRefresh"/>
    <m/>
    <m/>
    <x v="4"/>
    <n v="7.349527665317139E-2"/>
  </r>
  <r>
    <s v="P049"/>
    <x v="0"/>
    <d v="2024-06-10T00:00:00"/>
    <x v="2"/>
    <s v="Check out our latest story on twitter!"/>
    <n v="2164"/>
    <n v="549"/>
    <n v="274"/>
    <n v="28132"/>
    <n v="27361"/>
    <n v="177"/>
    <s v="#PepsiCoRefresh"/>
    <s v="#PepsiCoRefresh"/>
    <m/>
    <m/>
    <x v="3"/>
    <n v="0.10617801791554102"/>
  </r>
  <r>
    <s v="P050"/>
    <x v="1"/>
    <d v="2024-07-03T00:00:00"/>
    <x v="2"/>
    <s v="Check out our latest story on youtube!"/>
    <n v="2754"/>
    <n v="130"/>
    <n v="90"/>
    <n v="22032"/>
    <n v="21288"/>
    <n v="112"/>
    <s v="#PepsiCoRefresh"/>
    <s v="#PepsiCoRefresh"/>
    <m/>
    <m/>
    <x v="2"/>
    <n v="0.13498547567175018"/>
  </r>
  <r>
    <s v="P051"/>
    <x v="3"/>
    <d v="2024-06-13T00:00:00"/>
    <x v="3"/>
    <s v="Check out our latest carousel on facebook!"/>
    <n v="2200"/>
    <n v="504"/>
    <n v="239"/>
    <n v="37400"/>
    <n v="36938"/>
    <n v="225"/>
    <s v="#LiveForNow"/>
    <s v="#LiveForNow"/>
    <m/>
    <m/>
    <x v="1"/>
    <n v="7.8689839572192513E-2"/>
  </r>
  <r>
    <s v="P052"/>
    <x v="3"/>
    <d v="2025-01-03T00:00:00"/>
    <x v="4"/>
    <s v="Check out our latest image on facebook!"/>
    <n v="947"/>
    <n v="338"/>
    <n v="350"/>
    <n v="10417"/>
    <n v="9730"/>
    <n v="34"/>
    <s v="#PepsiCoRefresh"/>
    <s v="#PepsiCoRefresh"/>
    <m/>
    <m/>
    <x v="3"/>
    <n v="0.1569549774407219"/>
  </r>
  <r>
    <s v="P053"/>
    <x v="1"/>
    <d v="2025-02-24T00:00:00"/>
    <x v="3"/>
    <s v="Check out our latest carousel on youtube!"/>
    <n v="804"/>
    <n v="639"/>
    <n v="43"/>
    <n v="4020"/>
    <n v="3144"/>
    <n v="11"/>
    <s v="#ThirstyForMore,#BetterWithPepsi"/>
    <s v="#ThirstyForMore"/>
    <s v="#BetterWithPepsi"/>
    <m/>
    <x v="4"/>
    <n v="0.36965174129353234"/>
  </r>
  <r>
    <s v="P054"/>
    <x v="1"/>
    <d v="2025-03-13T00:00:00"/>
    <x v="3"/>
    <s v="Check out our latest carousel on youtube!"/>
    <n v="1686"/>
    <n v="904"/>
    <n v="472"/>
    <n v="18546"/>
    <n v="18171"/>
    <n v="52"/>
    <s v="#LiveForNow"/>
    <s v="#LiveForNow"/>
    <m/>
    <m/>
    <x v="1"/>
    <n v="0.16510298716704411"/>
  </r>
  <r>
    <s v="P055"/>
    <x v="3"/>
    <d v="2024-06-17T00:00:00"/>
    <x v="4"/>
    <s v="Check out our latest image on facebook!"/>
    <n v="1226"/>
    <n v="119"/>
    <n v="7"/>
    <n v="14712"/>
    <n v="14049"/>
    <n v="123"/>
    <s v="#ThirstyForMore"/>
    <s v="#ThirstyForMore"/>
    <m/>
    <m/>
    <x v="3"/>
    <n v="9.1897770527460579E-2"/>
  </r>
  <r>
    <s v="P056"/>
    <x v="3"/>
    <d v="2024-12-18T00:00:00"/>
    <x v="3"/>
    <s v="Check out our latest carousel on facebook!"/>
    <n v="2946"/>
    <n v="498"/>
    <n v="367"/>
    <n v="29460"/>
    <n v="28527"/>
    <n v="60"/>
    <s v="#LiveForNow"/>
    <s v="#LiveForNow"/>
    <m/>
    <m/>
    <x v="2"/>
    <n v="0.12936184657162253"/>
  </r>
  <r>
    <s v="P057"/>
    <x v="0"/>
    <d v="2024-10-21T00:00:00"/>
    <x v="5"/>
    <s v="Check out our latest video on twitter!"/>
    <n v="2825"/>
    <n v="535"/>
    <n v="295"/>
    <n v="45200"/>
    <n v="44739"/>
    <n v="169"/>
    <s v="#PepsiCoRefresh"/>
    <s v="#PepsiCoRefresh"/>
    <m/>
    <m/>
    <x v="0"/>
    <n v="8.0862831858407078E-2"/>
  </r>
  <r>
    <s v="P058"/>
    <x v="2"/>
    <d v="2025-04-15T00:00:00"/>
    <x v="0"/>
    <s v="Check out our latest reel on instagram!"/>
    <n v="103"/>
    <n v="770"/>
    <n v="19"/>
    <n v="1030"/>
    <n v="410"/>
    <n v="262"/>
    <s v="#PepsiCoRefresh"/>
    <s v="#PepsiCoRefresh"/>
    <m/>
    <m/>
    <x v="3"/>
    <n v="0.86601941747572819"/>
  </r>
  <r>
    <s v="P059"/>
    <x v="2"/>
    <d v="2024-06-22T00:00:00"/>
    <x v="1"/>
    <s v="Check out our latest text on instagram!"/>
    <n v="2180"/>
    <n v="263"/>
    <n v="387"/>
    <n v="30520"/>
    <n v="30059"/>
    <n v="174"/>
    <s v="#ThirstyForMore"/>
    <s v="#ThirstyForMore"/>
    <m/>
    <m/>
    <x v="4"/>
    <n v="9.2726081258191345E-2"/>
  </r>
  <r>
    <s v="P060"/>
    <x v="2"/>
    <d v="2025-01-28T00:00:00"/>
    <x v="5"/>
    <s v="Check out our latest video on instagram!"/>
    <n v="904"/>
    <n v="973"/>
    <n v="63"/>
    <n v="11752"/>
    <n v="11580"/>
    <n v="84"/>
    <s v="#ThirstyForMore,#PepsiCoRefresh,#AnytimeIsPepsiTime"/>
    <s v="#ThirstyForMore"/>
    <s v="#PepsiCoRefresh"/>
    <s v="#AnytimeIsPepsiTime"/>
    <x v="2"/>
    <n v="0.1650782845473111"/>
  </r>
  <r>
    <s v="P061"/>
    <x v="0"/>
    <d v="2024-09-05T00:00:00"/>
    <x v="5"/>
    <s v="Check out our latest video on twitter!"/>
    <n v="4886"/>
    <n v="983"/>
    <n v="409"/>
    <n v="43974"/>
    <n v="43239"/>
    <n v="65"/>
    <s v="#PepsiCoRefresh"/>
    <s v="#PepsiCoRefresh"/>
    <m/>
    <m/>
    <x v="0"/>
    <n v="0.14276618001546368"/>
  </r>
  <r>
    <s v="P062"/>
    <x v="0"/>
    <d v="2024-11-22T00:00:00"/>
    <x v="3"/>
    <s v="Check out our latest carousel on twitter!"/>
    <n v="53"/>
    <n v="81"/>
    <n v="379"/>
    <n v="954"/>
    <n v="7"/>
    <n v="148"/>
    <s v="#PepsiCoRefresh"/>
    <s v="#PepsiCoRefresh"/>
    <m/>
    <m/>
    <x v="2"/>
    <n v="0.53773584905660377"/>
  </r>
  <r>
    <s v="P063"/>
    <x v="0"/>
    <d v="2024-07-31T00:00:00"/>
    <x v="3"/>
    <s v="Check out our latest carousel on twitter!"/>
    <n v="4507"/>
    <n v="217"/>
    <n v="13"/>
    <n v="90140"/>
    <n v="89591"/>
    <n v="125"/>
    <s v="#LiveForNow"/>
    <s v="#LiveForNow"/>
    <m/>
    <m/>
    <x v="2"/>
    <n v="5.2551586421122697E-2"/>
  </r>
  <r>
    <s v="P064"/>
    <x v="3"/>
    <d v="2024-08-17T00:00:00"/>
    <x v="4"/>
    <s v="Check out our latest image on facebook!"/>
    <n v="2878"/>
    <n v="248"/>
    <n v="416"/>
    <n v="43170"/>
    <n v="42667"/>
    <n v="75"/>
    <s v="#LiveForNow"/>
    <s v="#LiveForNow"/>
    <m/>
    <m/>
    <x v="2"/>
    <n v="8.2047718322909427E-2"/>
  </r>
  <r>
    <s v="P065"/>
    <x v="2"/>
    <d v="2025-03-28T00:00:00"/>
    <x v="2"/>
    <s v="Check out our latest story on instagram!"/>
    <n v="1881"/>
    <n v="501"/>
    <n v="99"/>
    <n v="20691"/>
    <n v="19987"/>
    <n v="289"/>
    <s v="#ThirstyForMore"/>
    <s v="#ThirstyForMore"/>
    <m/>
    <m/>
    <x v="4"/>
    <n v="0.11990720603160794"/>
  </r>
  <r>
    <s v="P066"/>
    <x v="0"/>
    <d v="2024-07-26T00:00:00"/>
    <x v="3"/>
    <s v="Check out our latest carousel on twitter!"/>
    <n v="432"/>
    <n v="171"/>
    <n v="280"/>
    <n v="3024"/>
    <n v="2285"/>
    <n v="184"/>
    <s v="#ThirstyForMore"/>
    <s v="#ThirstyForMore"/>
    <m/>
    <m/>
    <x v="0"/>
    <n v="0.29199735449735448"/>
  </r>
  <r>
    <s v="P067"/>
    <x v="3"/>
    <d v="2025-03-29T00:00:00"/>
    <x v="3"/>
    <s v="Check out our latest carousel on facebook!"/>
    <n v="4712"/>
    <n v="568"/>
    <n v="127"/>
    <n v="84816"/>
    <n v="84691"/>
    <n v="100"/>
    <s v="#ThirstyForMore"/>
    <s v="#ThirstyForMore"/>
    <m/>
    <m/>
    <x v="2"/>
    <n v="6.3749764195434822E-2"/>
  </r>
  <r>
    <s v="P068"/>
    <x v="2"/>
    <d v="2024-12-08T00:00:00"/>
    <x v="2"/>
    <s v="Check out our latest story on instagram!"/>
    <n v="2610"/>
    <n v="126"/>
    <n v="288"/>
    <n v="15660"/>
    <n v="15145"/>
    <n v="73"/>
    <s v="#ThirstyForMore"/>
    <s v="#ThirstyForMore"/>
    <m/>
    <m/>
    <x v="4"/>
    <n v="0.19310344827586207"/>
  </r>
  <r>
    <s v="P069"/>
    <x v="0"/>
    <d v="2025-03-08T00:00:00"/>
    <x v="1"/>
    <s v="Check out our latest text on twitter!"/>
    <n v="1292"/>
    <n v="626"/>
    <n v="496"/>
    <n v="25840"/>
    <n v="24916"/>
    <n v="149"/>
    <s v="#LiveForNow"/>
    <s v="#LiveForNow"/>
    <m/>
    <m/>
    <x v="2"/>
    <n v="9.3421052631578946E-2"/>
  </r>
  <r>
    <s v="P070"/>
    <x v="3"/>
    <d v="2025-04-02T00:00:00"/>
    <x v="5"/>
    <s v="Check out our latest video on facebook!"/>
    <n v="199"/>
    <n v="772"/>
    <n v="400"/>
    <n v="3582"/>
    <n v="2988"/>
    <n v="43"/>
    <s v="#PepsiCoRefresh"/>
    <s v="#PepsiCoRefresh"/>
    <m/>
    <m/>
    <x v="4"/>
    <n v="0.38274706867671693"/>
  </r>
  <r>
    <s v="P071"/>
    <x v="1"/>
    <d v="2024-09-02T00:00:00"/>
    <x v="3"/>
    <s v="Check out our latest carousel on youtube!"/>
    <n v="2551"/>
    <n v="915"/>
    <n v="205"/>
    <n v="30612"/>
    <n v="30360"/>
    <n v="227"/>
    <s v="#PepsiCoRefresh"/>
    <s v="#PepsiCoRefresh"/>
    <m/>
    <m/>
    <x v="1"/>
    <n v="0.1199202926956749"/>
  </r>
  <r>
    <s v="P072"/>
    <x v="1"/>
    <d v="2025-03-03T00:00:00"/>
    <x v="0"/>
    <s v="Check out our latest reel on youtube!"/>
    <n v="296"/>
    <n v="60"/>
    <n v="141"/>
    <n v="5624"/>
    <n v="5239"/>
    <n v="88"/>
    <s v="#ThirstyForMore"/>
    <s v="#ThirstyForMore"/>
    <m/>
    <m/>
    <x v="1"/>
    <n v="8.837126600284495E-2"/>
  </r>
  <r>
    <s v="P073"/>
    <x v="3"/>
    <d v="2024-10-18T00:00:00"/>
    <x v="2"/>
    <s v="Check out our latest story on facebook!"/>
    <n v="4126"/>
    <n v="426"/>
    <n v="486"/>
    <n v="78394"/>
    <n v="77798"/>
    <n v="88"/>
    <s v="#LiveForNow"/>
    <s v="#LiveForNow"/>
    <m/>
    <m/>
    <x v="3"/>
    <n v="6.4265122330790625E-2"/>
  </r>
  <r>
    <s v="P074"/>
    <x v="1"/>
    <d v="2024-10-28T00:00:00"/>
    <x v="0"/>
    <s v="Check out our latest reel on youtube!"/>
    <n v="1855"/>
    <n v="200"/>
    <n v="174"/>
    <n v="16695"/>
    <n v="16330"/>
    <n v="123"/>
    <s v="#PepsiCoRefresh"/>
    <s v="#PepsiCoRefresh"/>
    <m/>
    <m/>
    <x v="2"/>
    <n v="0.13351302785265048"/>
  </r>
  <r>
    <s v="P075"/>
    <x v="2"/>
    <d v="2024-08-01T00:00:00"/>
    <x v="0"/>
    <s v="Check out our latest reel on instagram!"/>
    <n v="1674"/>
    <n v="929"/>
    <n v="37"/>
    <n v="21762"/>
    <n v="20998"/>
    <n v="255"/>
    <s v="#PepsiCoRefresh"/>
    <s v="#PepsiCoRefresh"/>
    <m/>
    <m/>
    <x v="3"/>
    <n v="0.12131237937689551"/>
  </r>
  <r>
    <s v="P076"/>
    <x v="0"/>
    <d v="2024-11-07T00:00:00"/>
    <x v="2"/>
    <s v="Check out our latest story on twitter!"/>
    <n v="1121"/>
    <n v="135"/>
    <n v="18"/>
    <n v="15694"/>
    <n v="14957"/>
    <n v="99"/>
    <s v="#PepsiCoRefresh"/>
    <s v="#PepsiCoRefresh"/>
    <m/>
    <m/>
    <x v="3"/>
    <n v="8.1177520071364848E-2"/>
  </r>
  <r>
    <s v="P077"/>
    <x v="3"/>
    <d v="2025-03-04T00:00:00"/>
    <x v="2"/>
    <s v="Check out our latest story on facebook!"/>
    <n v="1249"/>
    <n v="116"/>
    <n v="420"/>
    <n v="8743"/>
    <n v="8538"/>
    <n v="63"/>
    <s v="#PepsiCoRefresh"/>
    <s v="#PepsiCoRefresh"/>
    <m/>
    <m/>
    <x v="4"/>
    <n v="0.20416333066453163"/>
  </r>
  <r>
    <s v="P078"/>
    <x v="0"/>
    <d v="2024-06-17T00:00:00"/>
    <x v="4"/>
    <s v="Check out our latest image on twitter!"/>
    <n v="954"/>
    <n v="324"/>
    <n v="288"/>
    <n v="19080"/>
    <n v="18859"/>
    <n v="21"/>
    <s v="#LiveForNow"/>
    <s v="#LiveForNow"/>
    <m/>
    <m/>
    <x v="3"/>
    <n v="8.2075471698113203E-2"/>
  </r>
  <r>
    <s v="P079"/>
    <x v="2"/>
    <d v="2024-10-09T00:00:00"/>
    <x v="3"/>
    <s v="Check out our latest carousel on instagram!"/>
    <n v="3068"/>
    <n v="137"/>
    <n v="329"/>
    <n v="39884"/>
    <n v="39404"/>
    <n v="266"/>
    <s v="#ThirstyForMore"/>
    <s v="#ThirstyForMore"/>
    <m/>
    <m/>
    <x v="1"/>
    <n v="8.860696018453515E-2"/>
  </r>
  <r>
    <s v="P080"/>
    <x v="2"/>
    <d v="2024-06-13T00:00:00"/>
    <x v="2"/>
    <s v="Check out our latest story on instagram!"/>
    <n v="2103"/>
    <n v="892"/>
    <n v="103"/>
    <n v="39957"/>
    <n v="39466"/>
    <n v="28"/>
    <s v="#LiveForNow"/>
    <s v="#LiveForNow"/>
    <m/>
    <m/>
    <x v="4"/>
    <n v="7.7533348349475686E-2"/>
  </r>
  <r>
    <s v="P081"/>
    <x v="2"/>
    <d v="2024-10-19T00:00:00"/>
    <x v="2"/>
    <s v="Check out our latest story on instagram!"/>
    <n v="1816"/>
    <n v="29"/>
    <n v="41"/>
    <n v="19976"/>
    <n v="19262"/>
    <n v="283"/>
    <s v="#PepsiCoRefresh"/>
    <s v="#PepsiCoRefresh"/>
    <m/>
    <m/>
    <x v="2"/>
    <n v="9.4413295955146179E-2"/>
  </r>
  <r>
    <s v="P082"/>
    <x v="2"/>
    <d v="2024-07-24T00:00:00"/>
    <x v="4"/>
    <s v="Check out our latest image on instagram!"/>
    <n v="725"/>
    <n v="88"/>
    <n v="428"/>
    <n v="14500"/>
    <n v="13637"/>
    <n v="200"/>
    <s v="#LiveForNow,#PepsiCoRefresh,#AnytimeIsPepsiTime"/>
    <s v="#LiveForNow"/>
    <s v="#PepsiCoRefresh"/>
    <s v="#AnytimeIsPepsiTime"/>
    <x v="2"/>
    <n v="8.558620689655172E-2"/>
  </r>
  <r>
    <s v="P083"/>
    <x v="1"/>
    <d v="2024-10-15T00:00:00"/>
    <x v="5"/>
    <s v="Check out our latest video on youtube!"/>
    <n v="1094"/>
    <n v="472"/>
    <n v="21"/>
    <n v="9846"/>
    <n v="9609"/>
    <n v="112"/>
    <s v="#ThirstyForMore"/>
    <s v="#ThirstyForMore"/>
    <m/>
    <m/>
    <x v="4"/>
    <n v="0.16118220597196831"/>
  </r>
  <r>
    <s v="P084"/>
    <x v="3"/>
    <d v="2024-12-09T00:00:00"/>
    <x v="4"/>
    <s v="Check out our latest image on facebook!"/>
    <n v="1841"/>
    <n v="851"/>
    <n v="342"/>
    <n v="34979"/>
    <n v="34154"/>
    <n v="255"/>
    <s v="#LiveForNow"/>
    <s v="#LiveForNow"/>
    <m/>
    <m/>
    <x v="3"/>
    <n v="8.6737756939878216E-2"/>
  </r>
  <r>
    <s v="P085"/>
    <x v="2"/>
    <d v="2025-04-19T00:00:00"/>
    <x v="4"/>
    <s v="Check out our latest image on instagram!"/>
    <n v="4177"/>
    <n v="569"/>
    <n v="55"/>
    <n v="25062"/>
    <n v="24847"/>
    <n v="230"/>
    <s v="#LiveForNow"/>
    <s v="#LiveForNow"/>
    <m/>
    <m/>
    <x v="0"/>
    <n v="0.19156491900087783"/>
  </r>
  <r>
    <s v="P086"/>
    <x v="1"/>
    <d v="2025-01-27T00:00:00"/>
    <x v="1"/>
    <s v="Check out our latest text on youtube!"/>
    <n v="3428"/>
    <n v="305"/>
    <n v="85"/>
    <n v="58276"/>
    <n v="58052"/>
    <n v="242"/>
    <s v="#ThirstyForMore,#BetterWithPepsi"/>
    <s v="#ThirstyForMore"/>
    <s v="#BetterWithPepsi"/>
    <m/>
    <x v="3"/>
    <n v="6.5515821264328367E-2"/>
  </r>
  <r>
    <s v="P087"/>
    <x v="0"/>
    <d v="2024-06-06T00:00:00"/>
    <x v="5"/>
    <s v="Check out our latest video on twitter!"/>
    <n v="1436"/>
    <n v="765"/>
    <n v="496"/>
    <n v="12924"/>
    <n v="12701"/>
    <n v="197"/>
    <s v="#LiveForNow"/>
    <s v="#LiveForNow"/>
    <m/>
    <m/>
    <x v="2"/>
    <n v="0.20868152274837512"/>
  </r>
  <r>
    <s v="P088"/>
    <x v="3"/>
    <d v="2024-07-07T00:00:00"/>
    <x v="2"/>
    <s v="Check out our latest story on facebook!"/>
    <n v="302"/>
    <n v="47"/>
    <n v="430"/>
    <n v="5738"/>
    <n v="4890"/>
    <n v="25"/>
    <s v="#PepsiCoRefresh"/>
    <s v="#PepsiCoRefresh"/>
    <m/>
    <m/>
    <x v="3"/>
    <n v="0.13576158940397351"/>
  </r>
  <r>
    <s v="P089"/>
    <x v="0"/>
    <d v="2025-01-10T00:00:00"/>
    <x v="4"/>
    <s v="Check out our latest image on twitter!"/>
    <n v="2214"/>
    <n v="249"/>
    <n v="152"/>
    <n v="15498"/>
    <n v="14800"/>
    <n v="180"/>
    <s v="#ThirstyForMore"/>
    <s v="#ThirstyForMore"/>
    <m/>
    <m/>
    <x v="4"/>
    <n v="0.16873144921925409"/>
  </r>
  <r>
    <s v="P090"/>
    <x v="2"/>
    <d v="2024-06-03T00:00:00"/>
    <x v="4"/>
    <s v="Check out our latest image on instagram!"/>
    <n v="3861"/>
    <n v="960"/>
    <n v="101"/>
    <n v="69498"/>
    <n v="68817"/>
    <n v="297"/>
    <s v="#PepsiCoRefresh"/>
    <s v="#PepsiCoRefresh"/>
    <m/>
    <m/>
    <x v="3"/>
    <n v="7.0822181933293038E-2"/>
  </r>
  <r>
    <s v="P091"/>
    <x v="3"/>
    <d v="2025-03-24T00:00:00"/>
    <x v="4"/>
    <s v="Check out our latest image on facebook!"/>
    <n v="1263"/>
    <n v="397"/>
    <n v="357"/>
    <n v="25260"/>
    <n v="24615"/>
    <n v="137"/>
    <s v="#ThirstyForMore"/>
    <s v="#ThirstyForMore"/>
    <m/>
    <m/>
    <x v="3"/>
    <n v="7.984956452889945E-2"/>
  </r>
  <r>
    <s v="P092"/>
    <x v="0"/>
    <d v="2024-10-21T00:00:00"/>
    <x v="2"/>
    <s v="Check out our latest story on twitter!"/>
    <n v="3801"/>
    <n v="967"/>
    <n v="401"/>
    <n v="38010"/>
    <n v="37625"/>
    <n v="236"/>
    <s v="#LiveForNow"/>
    <s v="#LiveForNow"/>
    <m/>
    <m/>
    <x v="2"/>
    <n v="0.13599052880820836"/>
  </r>
  <r>
    <s v="P093"/>
    <x v="2"/>
    <d v="2024-12-11T00:00:00"/>
    <x v="5"/>
    <s v="Check out our latest video on instagram!"/>
    <n v="1431"/>
    <n v="951"/>
    <n v="26"/>
    <n v="8586"/>
    <n v="8396"/>
    <n v="150"/>
    <s v="#ThirstyForMore"/>
    <s v="#ThirstyForMore"/>
    <m/>
    <m/>
    <x v="2"/>
    <n v="0.28045655718611695"/>
  </r>
  <r>
    <s v="P094"/>
    <x v="2"/>
    <d v="2024-11-07T00:00:00"/>
    <x v="4"/>
    <s v="Check out our latest image on instagram!"/>
    <n v="2647"/>
    <n v="304"/>
    <n v="170"/>
    <n v="18529"/>
    <n v="17841"/>
    <n v="46"/>
    <s v="#LiveForNow"/>
    <s v="#LiveForNow"/>
    <m/>
    <m/>
    <x v="2"/>
    <n v="0.16843866371633656"/>
  </r>
  <r>
    <s v="P095"/>
    <x v="2"/>
    <d v="2024-11-08T00:00:00"/>
    <x v="1"/>
    <s v="Check out our latest text on instagram!"/>
    <n v="3182"/>
    <n v="559"/>
    <n v="160"/>
    <n v="57276"/>
    <n v="56890"/>
    <n v="163"/>
    <s v="#LiveForNow"/>
    <s v="#LiveForNow"/>
    <m/>
    <m/>
    <x v="3"/>
    <n v="6.8108806480899509E-2"/>
  </r>
  <r>
    <s v="P096"/>
    <x v="0"/>
    <d v="2024-09-10T00:00:00"/>
    <x v="4"/>
    <s v="Check out our latest image on twitter!"/>
    <n v="1238"/>
    <n v="366"/>
    <n v="444"/>
    <n v="19808"/>
    <n v="19334"/>
    <n v="123"/>
    <s v="#LiveForNow"/>
    <s v="#LiveForNow"/>
    <m/>
    <m/>
    <x v="4"/>
    <n v="0.10339256865912763"/>
  </r>
  <r>
    <s v="P097"/>
    <x v="2"/>
    <d v="2024-08-13T00:00:00"/>
    <x v="4"/>
    <s v="Check out our latest image on instagram!"/>
    <n v="4739"/>
    <n v="527"/>
    <n v="135"/>
    <n v="61607"/>
    <n v="61333"/>
    <n v="36"/>
    <s v="#PepsiCoRefresh,#AnytimeIsPepsiTime"/>
    <s v="#PepsiCoRefresh"/>
    <s v="#AnytimeIsPepsiTime"/>
    <m/>
    <x v="1"/>
    <n v="8.7668609086629767E-2"/>
  </r>
  <r>
    <s v="P098"/>
    <x v="0"/>
    <d v="2024-06-10T00:00:00"/>
    <x v="2"/>
    <s v="Check out our latest story on twitter!"/>
    <n v="1575"/>
    <n v="771"/>
    <n v="486"/>
    <n v="25200"/>
    <n v="24826"/>
    <n v="17"/>
    <s v="#LiveForNow"/>
    <s v="#LiveForNow"/>
    <m/>
    <m/>
    <x v="3"/>
    <n v="0.11238095238095239"/>
  </r>
  <r>
    <s v="P099"/>
    <x v="1"/>
    <d v="2024-07-02T00:00:00"/>
    <x v="3"/>
    <s v="Check out our latest carousel on youtube!"/>
    <n v="4171"/>
    <n v="548"/>
    <n v="86"/>
    <n v="66736"/>
    <n v="66634"/>
    <n v="173"/>
    <s v="#LiveForNow"/>
    <s v="#LiveForNow"/>
    <m/>
    <m/>
    <x v="2"/>
    <n v="7.2000119875329657E-2"/>
  </r>
  <r>
    <s v="P100"/>
    <x v="1"/>
    <d v="2025-02-10T00:00:00"/>
    <x v="5"/>
    <s v="Check out our latest video on youtube!"/>
    <n v="1766"/>
    <n v="92"/>
    <n v="424"/>
    <n v="24724"/>
    <n v="24333"/>
    <n v="52"/>
    <s v="#ThirstyForMore"/>
    <s v="#ThirstyForMore"/>
    <m/>
    <m/>
    <x v="4"/>
    <n v="9.2298980747451867E-2"/>
  </r>
  <r>
    <s v="P101"/>
    <x v="1"/>
    <d v="2024-10-18T00:00:00"/>
    <x v="5"/>
    <s v="Check out our latest video on youtube!"/>
    <n v="4450"/>
    <n v="983"/>
    <n v="143"/>
    <n v="75650"/>
    <n v="75008"/>
    <n v="12"/>
    <s v="#LiveForNow"/>
    <s v="#LiveForNow"/>
    <m/>
    <m/>
    <x v="2"/>
    <n v="7.3707865168539333E-2"/>
  </r>
  <r>
    <s v="P102"/>
    <x v="0"/>
    <d v="2024-09-18T00:00:00"/>
    <x v="0"/>
    <s v="Check out our latest reel on twitter!"/>
    <n v="1000"/>
    <n v="978"/>
    <n v="162"/>
    <n v="6000"/>
    <n v="5221"/>
    <n v="223"/>
    <s v="#ThirstyForMore"/>
    <s v="#ThirstyForMore"/>
    <m/>
    <m/>
    <x v="1"/>
    <n v="0.35666666666666669"/>
  </r>
  <r>
    <s v="P103"/>
    <x v="3"/>
    <d v="2024-06-11T00:00:00"/>
    <x v="4"/>
    <s v="Check out our latest image on facebook!"/>
    <n v="3689"/>
    <n v="48"/>
    <n v="306"/>
    <n v="40579"/>
    <n v="39588"/>
    <n v="212"/>
    <s v="#ThirstyForMore"/>
    <s v="#ThirstyForMore"/>
    <m/>
    <m/>
    <x v="1"/>
    <n v="9.9632815002833983E-2"/>
  </r>
  <r>
    <s v="P104"/>
    <x v="1"/>
    <d v="2025-03-23T00:00:00"/>
    <x v="2"/>
    <s v="Check out our latest story on youtube!"/>
    <n v="3655"/>
    <n v="568"/>
    <n v="286"/>
    <n v="32895"/>
    <n v="32015"/>
    <n v="199"/>
    <s v="#PepsiCoRefresh"/>
    <s v="#PepsiCoRefresh"/>
    <m/>
    <m/>
    <x v="2"/>
    <n v="0.13707250341997265"/>
  </r>
  <r>
    <s v="P105"/>
    <x v="2"/>
    <d v="2024-06-14T00:00:00"/>
    <x v="3"/>
    <s v="Check out our latest carousel on instagram!"/>
    <n v="498"/>
    <n v="38"/>
    <n v="42"/>
    <n v="4482"/>
    <n v="3647"/>
    <n v="32"/>
    <s v="#LiveForNow"/>
    <s v="#LiveForNow"/>
    <m/>
    <m/>
    <x v="0"/>
    <n v="0.12896028558679162"/>
  </r>
  <r>
    <s v="P106"/>
    <x v="2"/>
    <d v="2025-02-04T00:00:00"/>
    <x v="4"/>
    <s v="Check out our latest image on instagram!"/>
    <n v="4619"/>
    <n v="821"/>
    <n v="499"/>
    <n v="69285"/>
    <n v="69141"/>
    <n v="298"/>
    <s v="#PepsiCoRefresh"/>
    <s v="#PepsiCoRefresh"/>
    <m/>
    <m/>
    <x v="3"/>
    <n v="8.5718409468138843E-2"/>
  </r>
  <r>
    <s v="P107"/>
    <x v="1"/>
    <d v="2024-06-21T00:00:00"/>
    <x v="4"/>
    <s v="Check out our latest image on youtube!"/>
    <n v="4832"/>
    <n v="893"/>
    <n v="10"/>
    <n v="91808"/>
    <n v="91296"/>
    <n v="182"/>
    <s v="#PepsiCoRefresh"/>
    <s v="#PepsiCoRefresh"/>
    <m/>
    <m/>
    <x v="4"/>
    <n v="6.2467323109097243E-2"/>
  </r>
  <r>
    <s v="P108"/>
    <x v="0"/>
    <d v="2025-03-25T00:00:00"/>
    <x v="5"/>
    <s v="Check out our latest video on twitter!"/>
    <n v="4050"/>
    <n v="871"/>
    <n v="347"/>
    <n v="52650"/>
    <n v="51755"/>
    <n v="209"/>
    <s v="#PepsiCoRefresh"/>
    <s v="#PepsiCoRefresh"/>
    <m/>
    <m/>
    <x v="1"/>
    <n v="0.10005698005698006"/>
  </r>
  <r>
    <s v="P109"/>
    <x v="0"/>
    <d v="2024-08-08T00:00:00"/>
    <x v="2"/>
    <s v="Check out our latest story on twitter!"/>
    <n v="3649"/>
    <n v="215"/>
    <n v="413"/>
    <n v="25543"/>
    <n v="24963"/>
    <n v="167"/>
    <s v="#LiveForNow"/>
    <s v="#LiveForNow"/>
    <m/>
    <m/>
    <x v="2"/>
    <n v="0.16744313510550835"/>
  </r>
  <r>
    <s v="P110"/>
    <x v="2"/>
    <d v="2024-07-29T00:00:00"/>
    <x v="0"/>
    <s v="Check out our latest reel on instagram!"/>
    <n v="3523"/>
    <n v="753"/>
    <n v="482"/>
    <n v="38753"/>
    <n v="38579"/>
    <n v="270"/>
    <s v="#ThirstyForMore"/>
    <s v="#ThirstyForMore"/>
    <m/>
    <m/>
    <x v="1"/>
    <n v="0.12277759141227776"/>
  </r>
  <r>
    <s v="P111"/>
    <x v="1"/>
    <d v="2024-11-23T00:00:00"/>
    <x v="4"/>
    <s v="Check out our latest image on youtube!"/>
    <n v="2719"/>
    <n v="17"/>
    <n v="285"/>
    <n v="40785"/>
    <n v="40281"/>
    <n v="40"/>
    <s v="#PepsiCoRefresh"/>
    <s v="#PepsiCoRefresh"/>
    <m/>
    <m/>
    <x v="1"/>
    <n v="7.4071349760941527E-2"/>
  </r>
  <r>
    <s v="P112"/>
    <x v="0"/>
    <d v="2024-10-05T00:00:00"/>
    <x v="2"/>
    <s v="Check out our latest story on twitter!"/>
    <n v="1957"/>
    <n v="877"/>
    <n v="238"/>
    <n v="17613"/>
    <n v="16865"/>
    <n v="297"/>
    <s v="#LiveForNow"/>
    <s v="#LiveForNow"/>
    <m/>
    <m/>
    <x v="2"/>
    <n v="0.17441662408448305"/>
  </r>
  <r>
    <s v="P113"/>
    <x v="0"/>
    <d v="2024-10-02T00:00:00"/>
    <x v="3"/>
    <s v="Check out our latest carousel on twitter!"/>
    <n v="4419"/>
    <n v="236"/>
    <n v="369"/>
    <n v="44190"/>
    <n v="43582"/>
    <n v="10"/>
    <s v="#ThirstyForMore"/>
    <s v="#ThirstyForMore"/>
    <m/>
    <m/>
    <x v="0"/>
    <n v="0.11369088028965829"/>
  </r>
  <r>
    <s v="P114"/>
    <x v="0"/>
    <d v="2024-11-14T00:00:00"/>
    <x v="2"/>
    <s v="Check out our latest story on twitter!"/>
    <n v="4000"/>
    <n v="689"/>
    <n v="488"/>
    <n v="40000"/>
    <n v="39569"/>
    <n v="44"/>
    <s v="#LiveForNow"/>
    <s v="#LiveForNow"/>
    <m/>
    <m/>
    <x v="0"/>
    <n v="0.12942500000000001"/>
  </r>
  <r>
    <s v="P115"/>
    <x v="0"/>
    <d v="2025-05-11T00:00:00"/>
    <x v="4"/>
    <s v="Check out our latest image on twitter!"/>
    <n v="2493"/>
    <n v="97"/>
    <n v="44"/>
    <n v="42381"/>
    <n v="41991"/>
    <n v="242"/>
    <s v="#PepsiCoRefresh,#AnytimeIsPepsiTime"/>
    <s v="#PepsiCoRefresh"/>
    <s v="#AnytimeIsPepsiTime"/>
    <m/>
    <x v="3"/>
    <n v="6.2150491965739366E-2"/>
  </r>
  <r>
    <s v="P116"/>
    <x v="1"/>
    <d v="2025-03-18T00:00:00"/>
    <x v="0"/>
    <s v="Check out our latest reel on youtube!"/>
    <n v="3704"/>
    <n v="186"/>
    <n v="458"/>
    <n v="25928"/>
    <n v="25081"/>
    <n v="131"/>
    <s v="#PepsiCoRefresh"/>
    <s v="#PepsiCoRefresh"/>
    <m/>
    <m/>
    <x v="4"/>
    <n v="0.16769515581610614"/>
  </r>
  <r>
    <s v="P117"/>
    <x v="0"/>
    <d v="2024-11-04T00:00:00"/>
    <x v="4"/>
    <s v="Check out our latest image on twitter!"/>
    <n v="1606"/>
    <n v="451"/>
    <n v="405"/>
    <n v="20878"/>
    <n v="20190"/>
    <n v="219"/>
    <s v="#ThirstyForMore"/>
    <s v="#ThirstyForMore"/>
    <m/>
    <m/>
    <x v="3"/>
    <n v="0.11792317271769326"/>
  </r>
  <r>
    <s v="P118"/>
    <x v="3"/>
    <d v="2024-11-04T00:00:00"/>
    <x v="4"/>
    <s v="Check out our latest image on facebook!"/>
    <n v="4551"/>
    <n v="714"/>
    <n v="207"/>
    <n v="68265"/>
    <n v="67754"/>
    <n v="57"/>
    <s v="#LiveForNow"/>
    <s v="#LiveForNow"/>
    <m/>
    <m/>
    <x v="2"/>
    <n v="8.0158206987475278E-2"/>
  </r>
  <r>
    <s v="P119"/>
    <x v="2"/>
    <d v="2025-02-07T00:00:00"/>
    <x v="0"/>
    <s v="Check out our latest reel on instagram!"/>
    <n v="1970"/>
    <n v="675"/>
    <n v="478"/>
    <n v="9850"/>
    <n v="8924"/>
    <n v="117"/>
    <s v="#LiveForNow"/>
    <s v="#LiveForNow"/>
    <m/>
    <m/>
    <x v="4"/>
    <n v="0.31705583756345179"/>
  </r>
  <r>
    <s v="P120"/>
    <x v="3"/>
    <d v="2024-10-21T00:00:00"/>
    <x v="2"/>
    <s v="Check out our latest story on facebook!"/>
    <n v="780"/>
    <n v="928"/>
    <n v="301"/>
    <n v="8580"/>
    <n v="8081"/>
    <n v="91"/>
    <s v="#ThirstyForMore"/>
    <s v="#ThirstyForMore"/>
    <m/>
    <m/>
    <x v="2"/>
    <n v="0.23414918414918415"/>
  </r>
  <r>
    <s v="P121"/>
    <x v="2"/>
    <d v="2024-07-29T00:00:00"/>
    <x v="2"/>
    <s v="Check out our latest story on instagram!"/>
    <n v="498"/>
    <n v="701"/>
    <n v="412"/>
    <n v="4980"/>
    <n v="4185"/>
    <n v="185"/>
    <s v="#LiveForNow"/>
    <s v="#LiveForNow"/>
    <m/>
    <m/>
    <x v="4"/>
    <n v="0.32349397590361445"/>
  </r>
  <r>
    <s v="P122"/>
    <x v="2"/>
    <d v="2024-10-02T00:00:00"/>
    <x v="1"/>
    <s v="Check out our latest text on instagram!"/>
    <n v="3432"/>
    <n v="869"/>
    <n v="123"/>
    <n v="54912"/>
    <n v="53916"/>
    <n v="264"/>
    <s v="#ThirstyForMore"/>
    <s v="#ThirstyForMore"/>
    <m/>
    <m/>
    <x v="1"/>
    <n v="8.0565268065268064E-2"/>
  </r>
  <r>
    <s v="P123"/>
    <x v="2"/>
    <d v="2024-06-14T00:00:00"/>
    <x v="2"/>
    <s v="Check out our latest story on instagram!"/>
    <n v="4363"/>
    <n v="649"/>
    <n v="140"/>
    <n v="21815"/>
    <n v="21481"/>
    <n v="157"/>
    <s v="#ThirstyForMore"/>
    <s v="#ThirstyForMore"/>
    <m/>
    <m/>
    <x v="0"/>
    <n v="0.23616777446710979"/>
  </r>
  <r>
    <s v="P124"/>
    <x v="1"/>
    <d v="2025-04-06T00:00:00"/>
    <x v="3"/>
    <s v="Check out our latest carousel on youtube!"/>
    <n v="736"/>
    <n v="771"/>
    <n v="225"/>
    <n v="5152"/>
    <n v="4706"/>
    <n v="19"/>
    <s v="#ThirstyForMore"/>
    <s v="#ThirstyForMore"/>
    <m/>
    <m/>
    <x v="0"/>
    <n v="0.33618012422360249"/>
  </r>
  <r>
    <s v="P125"/>
    <x v="0"/>
    <d v="2024-09-08T00:00:00"/>
    <x v="3"/>
    <s v="Check out our latest carousel on twitter!"/>
    <n v="3811"/>
    <n v="866"/>
    <n v="216"/>
    <n v="34299"/>
    <n v="34088"/>
    <n v="233"/>
    <s v="#PepsiCoRefresh"/>
    <s v="#PepsiCoRefresh"/>
    <m/>
    <m/>
    <x v="3"/>
    <n v="0.14265722032712325"/>
  </r>
  <r>
    <s v="P126"/>
    <x v="2"/>
    <d v="2025-03-28T00:00:00"/>
    <x v="3"/>
    <s v="Check out our latest carousel on instagram!"/>
    <n v="4158"/>
    <n v="167"/>
    <n v="241"/>
    <n v="45738"/>
    <n v="45183"/>
    <n v="142"/>
    <s v="#LiveForNow"/>
    <s v="#LiveForNow"/>
    <m/>
    <m/>
    <x v="4"/>
    <n v="9.9829463465827106E-2"/>
  </r>
  <r>
    <s v="P127"/>
    <x v="3"/>
    <d v="2025-01-27T00:00:00"/>
    <x v="0"/>
    <s v="Check out our latest reel on facebook!"/>
    <n v="3452"/>
    <n v="652"/>
    <n v="442"/>
    <n v="65588"/>
    <n v="65049"/>
    <n v="158"/>
    <s v="#LiveForNow"/>
    <s v="#LiveForNow"/>
    <m/>
    <m/>
    <x v="2"/>
    <n v="6.9311459413307311E-2"/>
  </r>
  <r>
    <s v="P128"/>
    <x v="0"/>
    <d v="2025-01-10T00:00:00"/>
    <x v="4"/>
    <s v="Check out our latest image on twitter!"/>
    <n v="3092"/>
    <n v="106"/>
    <n v="291"/>
    <n v="27828"/>
    <n v="27217"/>
    <n v="102"/>
    <s v="#LiveForNow"/>
    <s v="#LiveForNow"/>
    <m/>
    <m/>
    <x v="4"/>
    <n v="0.12537731780940059"/>
  </r>
  <r>
    <s v="P129"/>
    <x v="0"/>
    <d v="2024-07-21T00:00:00"/>
    <x v="1"/>
    <s v="Check out our latest text on twitter!"/>
    <n v="2147"/>
    <n v="430"/>
    <n v="393"/>
    <n v="17176"/>
    <n v="16483"/>
    <n v="170"/>
    <s v="#PepsiCoRefresh"/>
    <s v="#PepsiCoRefresh"/>
    <m/>
    <m/>
    <x v="4"/>
    <n v="0.17291569632044715"/>
  </r>
  <r>
    <s v="P130"/>
    <x v="1"/>
    <d v="2024-09-29T00:00:00"/>
    <x v="0"/>
    <s v="Check out our latest reel on youtube!"/>
    <n v="2936"/>
    <n v="439"/>
    <n v="44"/>
    <n v="38168"/>
    <n v="37571"/>
    <n v="22"/>
    <s v="#ThirstyForMore"/>
    <s v="#ThirstyForMore"/>
    <m/>
    <m/>
    <x v="3"/>
    <n v="8.9577656675749323E-2"/>
  </r>
  <r>
    <s v="P131"/>
    <x v="2"/>
    <d v="2024-10-21T00:00:00"/>
    <x v="0"/>
    <s v="Check out our latest reel on instagram!"/>
    <n v="4840"/>
    <n v="658"/>
    <n v="211"/>
    <n v="43560"/>
    <n v="43225"/>
    <n v="57"/>
    <s v="#LiveForNow"/>
    <s v="#LiveForNow"/>
    <m/>
    <m/>
    <x v="2"/>
    <n v="0.13106060606060607"/>
  </r>
  <r>
    <s v="P132"/>
    <x v="2"/>
    <d v="2025-03-04T00:00:00"/>
    <x v="2"/>
    <s v="Check out our latest story on instagram!"/>
    <n v="1947"/>
    <n v="842"/>
    <n v="101"/>
    <n v="21417"/>
    <n v="20967"/>
    <n v="186"/>
    <s v="#LiveForNow"/>
    <s v="#LiveForNow"/>
    <m/>
    <m/>
    <x v="1"/>
    <n v="0.13493953401503478"/>
  </r>
  <r>
    <s v="P133"/>
    <x v="3"/>
    <d v="2025-02-06T00:00:00"/>
    <x v="4"/>
    <s v="Check out our latest image on facebook!"/>
    <n v="2072"/>
    <n v="532"/>
    <n v="71"/>
    <n v="37296"/>
    <n v="36467"/>
    <n v="25"/>
    <s v="#PepsiCoRefresh"/>
    <s v="#PepsiCoRefresh"/>
    <m/>
    <m/>
    <x v="3"/>
    <n v="7.172350922350923E-2"/>
  </r>
  <r>
    <s v="P134"/>
    <x v="0"/>
    <d v="2025-04-24T00:00:00"/>
    <x v="0"/>
    <s v="Check out our latest reel on twitter!"/>
    <n v="3731"/>
    <n v="115"/>
    <n v="135"/>
    <n v="55965"/>
    <n v="55436"/>
    <n v="103"/>
    <s v="#PepsiCoRefresh"/>
    <s v="#PepsiCoRefresh"/>
    <m/>
    <m/>
    <x v="0"/>
    <n v="7.1133744304476013E-2"/>
  </r>
  <r>
    <s v="P135"/>
    <x v="3"/>
    <d v="2024-11-28T00:00:00"/>
    <x v="1"/>
    <s v="Check out our latest text on facebook!"/>
    <n v="4213"/>
    <n v="253"/>
    <n v="434"/>
    <n v="75834"/>
    <n v="75437"/>
    <n v="272"/>
    <s v="#LiveForNow"/>
    <s v="#LiveForNow"/>
    <m/>
    <m/>
    <x v="3"/>
    <n v="6.461481657304112E-2"/>
  </r>
  <r>
    <s v="P136"/>
    <x v="2"/>
    <d v="2024-07-11T00:00:00"/>
    <x v="1"/>
    <s v="Check out our latest text on instagram!"/>
    <n v="3134"/>
    <n v="888"/>
    <n v="444"/>
    <n v="21938"/>
    <n v="21337"/>
    <n v="130"/>
    <s v="#ThirstyForMore"/>
    <s v="#ThirstyForMore"/>
    <m/>
    <m/>
    <x v="3"/>
    <n v="0.20357370772176134"/>
  </r>
  <r>
    <s v="P137"/>
    <x v="3"/>
    <d v="2024-07-31T00:00:00"/>
    <x v="5"/>
    <s v="Check out our latest video on facebook!"/>
    <n v="3008"/>
    <n v="94"/>
    <n v="37"/>
    <n v="15040"/>
    <n v="14639"/>
    <n v="277"/>
    <s v="#LiveForNow"/>
    <s v="#LiveForNow"/>
    <m/>
    <m/>
    <x v="4"/>
    <n v="0.20871010638297871"/>
  </r>
  <r>
    <s v="P138"/>
    <x v="0"/>
    <d v="2025-03-29T00:00:00"/>
    <x v="4"/>
    <s v="Check out our latest image on twitter!"/>
    <n v="305"/>
    <n v="187"/>
    <n v="243"/>
    <n v="4575"/>
    <n v="3704"/>
    <n v="234"/>
    <s v="#LiveForNow"/>
    <s v="#LiveForNow"/>
    <m/>
    <m/>
    <x v="2"/>
    <n v="0.16065573770491803"/>
  </r>
  <r>
    <s v="P139"/>
    <x v="1"/>
    <d v="2024-10-29T00:00:00"/>
    <x v="1"/>
    <s v="Check out our latest text on youtube!"/>
    <n v="2746"/>
    <n v="156"/>
    <n v="203"/>
    <n v="32952"/>
    <n v="32147"/>
    <n v="147"/>
    <s v="#ThirstyForMore"/>
    <s v="#ThirstyForMore"/>
    <m/>
    <m/>
    <x v="0"/>
    <n v="9.422796795338674E-2"/>
  </r>
  <r>
    <s v="P140"/>
    <x v="3"/>
    <d v="2024-07-15T00:00:00"/>
    <x v="4"/>
    <s v="Check out our latest image on facebook!"/>
    <n v="2291"/>
    <n v="78"/>
    <n v="485"/>
    <n v="18328"/>
    <n v="18101"/>
    <n v="10"/>
    <s v="#ThirstyForMore,#SmoothLikeNitroPepsi"/>
    <s v="#ThirstyForMore"/>
    <s v="#SmoothLikeNitroPepsi"/>
    <m/>
    <x v="1"/>
    <n v="0.15571802706241816"/>
  </r>
  <r>
    <s v="P141"/>
    <x v="0"/>
    <d v="2024-08-31T00:00:00"/>
    <x v="4"/>
    <s v="Check out our latest image on twitter!"/>
    <n v="3170"/>
    <n v="857"/>
    <n v="379"/>
    <n v="19020"/>
    <n v="18559"/>
    <n v="240"/>
    <s v="#LiveForNow"/>
    <s v="#LiveForNow"/>
    <m/>
    <m/>
    <x v="4"/>
    <n v="0.2316508937960042"/>
  </r>
  <r>
    <s v="P142"/>
    <x v="1"/>
    <d v="2025-03-25T00:00:00"/>
    <x v="2"/>
    <s v="Check out our latest story on youtube!"/>
    <n v="2070"/>
    <n v="275"/>
    <n v="386"/>
    <n v="39330"/>
    <n v="38627"/>
    <n v="114"/>
    <s v="#LiveForNow"/>
    <s v="#LiveForNow"/>
    <m/>
    <m/>
    <x v="3"/>
    <n v="6.9438087973557078E-2"/>
  </r>
  <r>
    <s v="P143"/>
    <x v="1"/>
    <d v="2024-10-02T00:00:00"/>
    <x v="3"/>
    <s v="Check out our latest carousel on youtube!"/>
    <n v="80"/>
    <n v="362"/>
    <n v="80"/>
    <n v="1040"/>
    <n v="349"/>
    <n v="117"/>
    <s v="#PepsiCoRefresh"/>
    <s v="#PepsiCoRefresh"/>
    <m/>
    <m/>
    <x v="2"/>
    <n v="0.50192307692307692"/>
  </r>
  <r>
    <s v="P144"/>
    <x v="1"/>
    <d v="2024-10-28T00:00:00"/>
    <x v="2"/>
    <s v="Check out our latest story on youtube!"/>
    <n v="4929"/>
    <n v="749"/>
    <n v="452"/>
    <n v="93651"/>
    <n v="92810"/>
    <n v="66"/>
    <s v="#ThirstyForMore"/>
    <s v="#ThirstyForMore"/>
    <m/>
    <m/>
    <x v="3"/>
    <n v="6.5455787978772245E-2"/>
  </r>
  <r>
    <s v="P145"/>
    <x v="2"/>
    <d v="2024-08-12T00:00:00"/>
    <x v="3"/>
    <s v="Check out our latest carousel on instagram!"/>
    <n v="1878"/>
    <n v="62"/>
    <n v="179"/>
    <n v="37560"/>
    <n v="36874"/>
    <n v="142"/>
    <s v="#PepsiCoRefresh"/>
    <s v="#PepsiCoRefresh"/>
    <m/>
    <m/>
    <x v="3"/>
    <n v="5.6416400425985093E-2"/>
  </r>
  <r>
    <s v="P146"/>
    <x v="1"/>
    <d v="2024-06-05T00:00:00"/>
    <x v="0"/>
    <s v="Check out our latest reel on youtube!"/>
    <n v="3065"/>
    <n v="772"/>
    <n v="142"/>
    <n v="18390"/>
    <n v="17875"/>
    <n v="200"/>
    <s v="#ThirstyForMore,#AnytimeIsPepsiTime"/>
    <s v="#ThirstyForMore"/>
    <s v="#AnytimeIsPepsiTime"/>
    <m/>
    <x v="4"/>
    <n v="0.21636759108210984"/>
  </r>
  <r>
    <s v="P147"/>
    <x v="2"/>
    <d v="2024-10-21T00:00:00"/>
    <x v="0"/>
    <s v="Check out our latest reel on instagram!"/>
    <n v="3256"/>
    <n v="459"/>
    <n v="266"/>
    <n v="26048"/>
    <n v="25529"/>
    <n v="143"/>
    <s v="#PepsiCoRefresh"/>
    <s v="#PepsiCoRefresh"/>
    <m/>
    <m/>
    <x v="1"/>
    <n v="0.15283323095823095"/>
  </r>
  <r>
    <s v="P148"/>
    <x v="2"/>
    <d v="2025-04-15T00:00:00"/>
    <x v="5"/>
    <s v="Check out our latest video on instagram!"/>
    <n v="4133"/>
    <n v="466"/>
    <n v="327"/>
    <n v="24798"/>
    <n v="24620"/>
    <n v="176"/>
    <s v="#ThirstyForMore"/>
    <s v="#ThirstyForMore"/>
    <m/>
    <m/>
    <x v="3"/>
    <n v="0.19864505202032423"/>
  </r>
  <r>
    <s v="P149"/>
    <x v="0"/>
    <d v="2024-06-16T00:00:00"/>
    <x v="5"/>
    <s v="Check out our latest video on twitter!"/>
    <n v="1702"/>
    <n v="750"/>
    <n v="179"/>
    <n v="34040"/>
    <n v="33174"/>
    <n v="76"/>
    <s v="#ThirstyForMore"/>
    <s v="#ThirstyForMore"/>
    <m/>
    <m/>
    <x v="0"/>
    <n v="7.7291421856639245E-2"/>
  </r>
  <r>
    <s v="P150"/>
    <x v="1"/>
    <d v="2024-08-22T00:00:00"/>
    <x v="3"/>
    <s v="Check out our latest carousel on youtube!"/>
    <n v="4295"/>
    <n v="853"/>
    <n v="325"/>
    <n v="85900"/>
    <n v="85788"/>
    <n v="290"/>
    <s v="#PepsiCoRefresh"/>
    <s v="#PepsiCoRefresh"/>
    <m/>
    <m/>
    <x v="3"/>
    <n v="6.3713620488940623E-2"/>
  </r>
  <r>
    <s v="P151"/>
    <x v="2"/>
    <d v="2024-07-26T00:00:00"/>
    <x v="4"/>
    <s v="Check out our latest image on instagram!"/>
    <n v="3559"/>
    <n v="59"/>
    <n v="289"/>
    <n v="35590"/>
    <n v="35105"/>
    <n v="122"/>
    <s v="#ThirstyForMore"/>
    <s v="#ThirstyForMore"/>
    <m/>
    <m/>
    <x v="0"/>
    <n v="0.10977802753582468"/>
  </r>
  <r>
    <s v="P152"/>
    <x v="3"/>
    <d v="2025-04-22T00:00:00"/>
    <x v="4"/>
    <s v="Check out our latest image on facebook!"/>
    <n v="4804"/>
    <n v="550"/>
    <n v="270"/>
    <n v="28824"/>
    <n v="28370"/>
    <n v="47"/>
    <s v="#ThirstyForMore"/>
    <s v="#ThirstyForMore"/>
    <m/>
    <m/>
    <x v="3"/>
    <n v="0.19511518179295032"/>
  </r>
  <r>
    <s v="P153"/>
    <x v="0"/>
    <d v="2025-01-01T00:00:00"/>
    <x v="5"/>
    <s v="Check out our latest video on twitter!"/>
    <n v="754"/>
    <n v="197"/>
    <n v="257"/>
    <n v="6786"/>
    <n v="6221"/>
    <n v="212"/>
    <s v="#PepsiCoRefresh"/>
    <s v="#PepsiCoRefresh"/>
    <m/>
    <m/>
    <x v="2"/>
    <n v="0.17801355732390214"/>
  </r>
  <r>
    <s v="P154"/>
    <x v="2"/>
    <d v="2024-10-09T00:00:00"/>
    <x v="3"/>
    <s v="Check out our latest carousel on instagram!"/>
    <n v="985"/>
    <n v="932"/>
    <n v="287"/>
    <n v="6895"/>
    <n v="6757"/>
    <n v="64"/>
    <s v="#LiveForNow"/>
    <s v="#LiveForNow"/>
    <m/>
    <m/>
    <x v="3"/>
    <n v="0.31965192168237855"/>
  </r>
  <r>
    <s v="P155"/>
    <x v="1"/>
    <d v="2024-12-21T00:00:00"/>
    <x v="4"/>
    <s v="Check out our latest image on youtube!"/>
    <n v="2283"/>
    <n v="210"/>
    <n v="130"/>
    <n v="22830"/>
    <n v="22617"/>
    <n v="143"/>
    <s v="#LiveForNow"/>
    <s v="#LiveForNow"/>
    <m/>
    <m/>
    <x v="1"/>
    <n v="0.11489268506351293"/>
  </r>
  <r>
    <s v="P156"/>
    <x v="3"/>
    <d v="2024-10-22T00:00:00"/>
    <x v="3"/>
    <s v="Check out our latest carousel on facebook!"/>
    <n v="3352"/>
    <n v="941"/>
    <n v="482"/>
    <n v="43576"/>
    <n v="43338"/>
    <n v="240"/>
    <s v="#LiveForNow"/>
    <s v="#LiveForNow"/>
    <m/>
    <m/>
    <x v="1"/>
    <n v="0.1095786671562328"/>
  </r>
  <r>
    <s v="P157"/>
    <x v="1"/>
    <d v="2024-07-23T00:00:00"/>
    <x v="2"/>
    <s v="Check out our latest story on youtube!"/>
    <n v="4775"/>
    <n v="173"/>
    <n v="206"/>
    <n v="47750"/>
    <n v="47544"/>
    <n v="187"/>
    <s v="#LiveForNow"/>
    <s v="#LiveForNow"/>
    <m/>
    <m/>
    <x v="1"/>
    <n v="0.10793717277486911"/>
  </r>
  <r>
    <s v="P158"/>
    <x v="2"/>
    <d v="2024-08-11T00:00:00"/>
    <x v="2"/>
    <s v="Check out our latest story on instagram!"/>
    <n v="1762"/>
    <n v="405"/>
    <n v="423"/>
    <n v="22906"/>
    <n v="21925"/>
    <n v="25"/>
    <s v="#PepsiCoRefresh"/>
    <s v="#PepsiCoRefresh"/>
    <m/>
    <m/>
    <x v="0"/>
    <n v="0.11307081114118571"/>
  </r>
  <r>
    <s v="P159"/>
    <x v="3"/>
    <d v="2024-11-25T00:00:00"/>
    <x v="2"/>
    <s v="Check out our latest story on facebook!"/>
    <n v="2120"/>
    <n v="158"/>
    <n v="488"/>
    <n v="12720"/>
    <n v="12085"/>
    <n v="17"/>
    <s v="#LiveForNow"/>
    <s v="#LiveForNow"/>
    <m/>
    <m/>
    <x v="1"/>
    <n v="0.21745283018867925"/>
  </r>
  <r>
    <s v="P160"/>
    <x v="0"/>
    <d v="2024-08-24T00:00:00"/>
    <x v="5"/>
    <s v="Check out our latest video on twitter!"/>
    <n v="1082"/>
    <n v="209"/>
    <n v="484"/>
    <n v="19476"/>
    <n v="18654"/>
    <n v="20"/>
    <s v="#PepsiCoRefresh"/>
    <s v="#PepsiCoRefresh"/>
    <m/>
    <m/>
    <x v="4"/>
    <n v="9.1137810638734856E-2"/>
  </r>
  <r>
    <s v="P161"/>
    <x v="0"/>
    <d v="2025-02-19T00:00:00"/>
    <x v="1"/>
    <s v="Check out our latest text on twitter!"/>
    <n v="4671"/>
    <n v="876"/>
    <n v="366"/>
    <n v="51381"/>
    <n v="50565"/>
    <n v="245"/>
    <s v="#PepsiCoRefresh"/>
    <s v="#PepsiCoRefresh"/>
    <m/>
    <m/>
    <x v="3"/>
    <n v="0.11508145034156594"/>
  </r>
  <r>
    <s v="P162"/>
    <x v="3"/>
    <d v="2025-04-01T00:00:00"/>
    <x v="2"/>
    <s v="Check out our latest story on facebook!"/>
    <n v="3430"/>
    <n v="566"/>
    <n v="164"/>
    <n v="48020"/>
    <n v="47305"/>
    <n v="120"/>
    <s v="#LiveForNow"/>
    <s v="#LiveForNow"/>
    <m/>
    <m/>
    <x v="4"/>
    <n v="8.6630570595585168E-2"/>
  </r>
  <r>
    <s v="P163"/>
    <x v="2"/>
    <d v="2025-04-08T00:00:00"/>
    <x v="4"/>
    <s v="Check out our latest image on instagram!"/>
    <n v="4501"/>
    <n v="375"/>
    <n v="323"/>
    <n v="22505"/>
    <n v="21836"/>
    <n v="132"/>
    <s v="#PepsiCoRefresh"/>
    <s v="#PepsiCoRefresh"/>
    <m/>
    <m/>
    <x v="1"/>
    <n v="0.23101532992668297"/>
  </r>
  <r>
    <s v="P164"/>
    <x v="1"/>
    <d v="2025-02-27T00:00:00"/>
    <x v="1"/>
    <s v="Check out our latest text on youtube!"/>
    <n v="4934"/>
    <n v="971"/>
    <n v="156"/>
    <n v="39472"/>
    <n v="39025"/>
    <n v="169"/>
    <s v="#PepsiCoRefresh,#AnytimeIsPepsiTime"/>
    <s v="#PepsiCoRefresh"/>
    <s v="#AnytimeIsPepsiTime"/>
    <m/>
    <x v="3"/>
    <n v="0.15355188488042157"/>
  </r>
  <r>
    <s v="P165"/>
    <x v="0"/>
    <d v="2024-12-11T00:00:00"/>
    <x v="1"/>
    <s v="Check out our latest text on twitter!"/>
    <n v="3239"/>
    <n v="43"/>
    <n v="211"/>
    <n v="22673"/>
    <n v="22171"/>
    <n v="230"/>
    <s v="#PepsiCoRefresh"/>
    <s v="#PepsiCoRefresh"/>
    <m/>
    <m/>
    <x v="1"/>
    <n v="0.15405989502933004"/>
  </r>
  <r>
    <s v="P166"/>
    <x v="0"/>
    <d v="2025-02-16T00:00:00"/>
    <x v="0"/>
    <s v="Check out our latest reel on twitter!"/>
    <n v="1076"/>
    <n v="313"/>
    <n v="306"/>
    <n v="11836"/>
    <n v="11596"/>
    <n v="104"/>
    <s v="#LiveForNow"/>
    <s v="#LiveForNow"/>
    <m/>
    <m/>
    <x v="0"/>
    <n v="0.14320716458262928"/>
  </r>
  <r>
    <s v="P167"/>
    <x v="2"/>
    <d v="2024-11-28T00:00:00"/>
    <x v="1"/>
    <s v="Check out our latest text on instagram!"/>
    <n v="4771"/>
    <n v="818"/>
    <n v="56"/>
    <n v="57252"/>
    <n v="56378"/>
    <n v="150"/>
    <s v="#LiveForNow"/>
    <s v="#LiveForNow"/>
    <m/>
    <m/>
    <x v="4"/>
    <n v="9.859917557465242E-2"/>
  </r>
  <r>
    <s v="P168"/>
    <x v="3"/>
    <d v="2024-11-12T00:00:00"/>
    <x v="1"/>
    <s v="Check out our latest text on facebook!"/>
    <n v="2418"/>
    <n v="754"/>
    <n v="54"/>
    <n v="43524"/>
    <n v="42743"/>
    <n v="182"/>
    <s v="#ThirstyForMore"/>
    <s v="#ThirstyForMore"/>
    <m/>
    <m/>
    <x v="0"/>
    <n v="7.412002573292896E-2"/>
  </r>
  <r>
    <s v="P169"/>
    <x v="1"/>
    <d v="2024-12-03T00:00:00"/>
    <x v="5"/>
    <s v="Check out our latest video on youtube!"/>
    <n v="3809"/>
    <n v="273"/>
    <n v="200"/>
    <n v="34281"/>
    <n v="33534"/>
    <n v="83"/>
    <s v="#ThirstyForMore"/>
    <s v="#ThirstyForMore"/>
    <m/>
    <m/>
    <x v="0"/>
    <n v="0.12490884163239112"/>
  </r>
  <r>
    <s v="P170"/>
    <x v="0"/>
    <d v="2025-04-28T00:00:00"/>
    <x v="1"/>
    <s v="Check out our latest text on twitter!"/>
    <n v="3577"/>
    <n v="596"/>
    <n v="493"/>
    <n v="67963"/>
    <n v="67839"/>
    <n v="53"/>
    <s v="#PepsiCoRefresh"/>
    <s v="#PepsiCoRefresh"/>
    <m/>
    <m/>
    <x v="2"/>
    <n v="6.8655003457763777E-2"/>
  </r>
  <r>
    <s v="P171"/>
    <x v="1"/>
    <d v="2024-12-31T00:00:00"/>
    <x v="5"/>
    <s v="Check out our latest video on youtube!"/>
    <n v="1018"/>
    <n v="447"/>
    <n v="332"/>
    <n v="18324"/>
    <n v="18164"/>
    <n v="38"/>
    <s v="#LiveForNow"/>
    <s v="#LiveForNow"/>
    <m/>
    <m/>
    <x v="1"/>
    <n v="9.8068107400130972E-2"/>
  </r>
  <r>
    <s v="P172"/>
    <x v="3"/>
    <d v="2024-08-14T00:00:00"/>
    <x v="3"/>
    <s v="Check out our latest carousel on facebook!"/>
    <n v="3073"/>
    <n v="553"/>
    <n v="174"/>
    <n v="52241"/>
    <n v="51605"/>
    <n v="246"/>
    <s v="#ThirstyForMore"/>
    <s v="#ThirstyForMore"/>
    <m/>
    <m/>
    <x v="2"/>
    <n v="7.2739802071170159E-2"/>
  </r>
  <r>
    <s v="P173"/>
    <x v="0"/>
    <d v="2024-12-05T00:00:00"/>
    <x v="5"/>
    <s v="Check out our latest video on twitter!"/>
    <n v="1330"/>
    <n v="925"/>
    <n v="35"/>
    <n v="15960"/>
    <n v="15379"/>
    <n v="229"/>
    <s v="#LiveForNow"/>
    <s v="#LiveForNow"/>
    <m/>
    <m/>
    <x v="2"/>
    <n v="0.14348370927318296"/>
  </r>
  <r>
    <s v="P174"/>
    <x v="3"/>
    <d v="2024-06-22T00:00:00"/>
    <x v="1"/>
    <s v="Check out our latest text on facebook!"/>
    <n v="3828"/>
    <n v="148"/>
    <n v="253"/>
    <n v="30624"/>
    <n v="30229"/>
    <n v="235"/>
    <s v="#ThirstyForMore"/>
    <s v="#ThirstyForMore"/>
    <m/>
    <m/>
    <x v="4"/>
    <n v="0.13809430512016718"/>
  </r>
  <r>
    <s v="P175"/>
    <x v="2"/>
    <d v="2025-01-17T00:00:00"/>
    <x v="0"/>
    <s v="Check out our latest reel on instagram!"/>
    <n v="142"/>
    <n v="784"/>
    <n v="183"/>
    <n v="1704"/>
    <n v="995"/>
    <n v="154"/>
    <s v="#LiveForNow"/>
    <s v="#LiveForNow"/>
    <m/>
    <m/>
    <x v="3"/>
    <n v="0.6508215962441315"/>
  </r>
  <r>
    <s v="P176"/>
    <x v="3"/>
    <d v="2024-06-20T00:00:00"/>
    <x v="5"/>
    <s v="Check out our latest video on facebook!"/>
    <n v="3798"/>
    <n v="31"/>
    <n v="279"/>
    <n v="75960"/>
    <n v="75813"/>
    <n v="266"/>
    <s v="#PepsiCoRefresh"/>
    <s v="#PepsiCoRefresh"/>
    <m/>
    <m/>
    <x v="0"/>
    <n v="5.4081095313322801E-2"/>
  </r>
  <r>
    <s v="P177"/>
    <x v="2"/>
    <d v="2024-07-10T00:00:00"/>
    <x v="3"/>
    <s v="Check out our latest carousel on instagram!"/>
    <n v="3099"/>
    <n v="694"/>
    <n v="171"/>
    <n v="43386"/>
    <n v="42921"/>
    <n v="52"/>
    <s v="#PepsiCoRefresh"/>
    <s v="#PepsiCoRefresh"/>
    <m/>
    <m/>
    <x v="2"/>
    <n v="9.1365878393951966E-2"/>
  </r>
  <r>
    <s v="P178"/>
    <x v="2"/>
    <d v="2024-11-07T00:00:00"/>
    <x v="5"/>
    <s v="Check out our latest video on instagram!"/>
    <n v="129"/>
    <n v="643"/>
    <n v="136"/>
    <n v="1290"/>
    <n v="839"/>
    <n v="238"/>
    <s v="#PepsiCoRefresh"/>
    <s v="#PepsiCoRefresh"/>
    <m/>
    <m/>
    <x v="3"/>
    <n v="0.70387596899224802"/>
  </r>
  <r>
    <s v="P179"/>
    <x v="3"/>
    <d v="2024-07-15T00:00:00"/>
    <x v="3"/>
    <s v="Check out our latest carousel on facebook!"/>
    <n v="3796"/>
    <n v="667"/>
    <n v="395"/>
    <n v="64532"/>
    <n v="63550"/>
    <n v="292"/>
    <s v="#PepsiCoRefresh"/>
    <s v="#PepsiCoRefresh"/>
    <m/>
    <m/>
    <x v="4"/>
    <n v="7.5280481001673588E-2"/>
  </r>
  <r>
    <s v="P180"/>
    <x v="1"/>
    <d v="2024-12-03T00:00:00"/>
    <x v="1"/>
    <s v="Check out our latest text on youtube!"/>
    <n v="3711"/>
    <n v="352"/>
    <n v="290"/>
    <n v="48243"/>
    <n v="47579"/>
    <n v="11"/>
    <s v="#PepsiCoRefresh"/>
    <s v="#PepsiCoRefresh"/>
    <m/>
    <m/>
    <x v="0"/>
    <n v="9.023070704558174E-2"/>
  </r>
  <r>
    <s v="P181"/>
    <x v="1"/>
    <d v="2025-03-21T00:00:00"/>
    <x v="4"/>
    <s v="Check out our latest image on youtube!"/>
    <n v="606"/>
    <n v="789"/>
    <n v="470"/>
    <n v="7878"/>
    <n v="7389"/>
    <n v="239"/>
    <s v="#ThirstyForMore"/>
    <s v="#ThirstyForMore"/>
    <m/>
    <m/>
    <x v="2"/>
    <n v="0.23673521198273673"/>
  </r>
  <r>
    <s v="P182"/>
    <x v="3"/>
    <d v="2024-07-31T00:00:00"/>
    <x v="4"/>
    <s v="Check out our latest image on facebook!"/>
    <n v="4689"/>
    <n v="134"/>
    <n v="403"/>
    <n v="51579"/>
    <n v="50924"/>
    <n v="173"/>
    <s v="#PepsiCoRefresh"/>
    <s v="#PepsiCoRefresh"/>
    <m/>
    <m/>
    <x v="3"/>
    <n v="0.10132030477519921"/>
  </r>
  <r>
    <s v="P183"/>
    <x v="2"/>
    <d v="2024-12-17T00:00:00"/>
    <x v="2"/>
    <s v="Check out our latest story on instagram!"/>
    <n v="360"/>
    <n v="590"/>
    <n v="393"/>
    <n v="4680"/>
    <n v="4322"/>
    <n v="208"/>
    <s v="#LiveForNow"/>
    <s v="#LiveForNow"/>
    <m/>
    <m/>
    <x v="1"/>
    <n v="0.28696581196581195"/>
  </r>
  <r>
    <s v="P184"/>
    <x v="0"/>
    <d v="2024-07-28T00:00:00"/>
    <x v="4"/>
    <s v="Check out our latest image on twitter!"/>
    <n v="3215"/>
    <n v="960"/>
    <n v="202"/>
    <n v="32150"/>
    <n v="31404"/>
    <n v="251"/>
    <s v="#ThirstyForMore"/>
    <s v="#ThirstyForMore"/>
    <m/>
    <m/>
    <x v="0"/>
    <n v="0.13614307931570763"/>
  </r>
  <r>
    <s v="P185"/>
    <x v="2"/>
    <d v="2025-01-11T00:00:00"/>
    <x v="3"/>
    <s v="Check out our latest carousel on instagram!"/>
    <n v="4523"/>
    <n v="61"/>
    <n v="157"/>
    <n v="49753"/>
    <n v="49329"/>
    <n v="71"/>
    <s v="#ThirstyForMore"/>
    <s v="#ThirstyForMore"/>
    <m/>
    <m/>
    <x v="4"/>
    <n v="9.5290736237010829E-2"/>
  </r>
  <r>
    <s v="P186"/>
    <x v="3"/>
    <d v="2024-08-24T00:00:00"/>
    <x v="3"/>
    <s v="Check out our latest carousel on facebook!"/>
    <n v="4292"/>
    <n v="51"/>
    <n v="392"/>
    <n v="55796"/>
    <n v="54826"/>
    <n v="264"/>
    <s v="#ThirstyForMore"/>
    <s v="#ThirstyForMore"/>
    <m/>
    <m/>
    <x v="2"/>
    <n v="8.4862714173059003E-2"/>
  </r>
  <r>
    <s v="P187"/>
    <x v="0"/>
    <d v="2024-12-22T00:00:00"/>
    <x v="0"/>
    <s v="Check out our latest reel on twitter!"/>
    <n v="1644"/>
    <n v="546"/>
    <n v="150"/>
    <n v="27948"/>
    <n v="27184"/>
    <n v="300"/>
    <s v="#ThirstyForMore"/>
    <s v="#ThirstyForMore"/>
    <m/>
    <m/>
    <x v="2"/>
    <n v="8.3726921425504502E-2"/>
  </r>
  <r>
    <s v="P188"/>
    <x v="1"/>
    <d v="2024-06-06T00:00:00"/>
    <x v="0"/>
    <s v="Check out our latest reel on youtube!"/>
    <n v="2728"/>
    <n v="533"/>
    <n v="215"/>
    <n v="40920"/>
    <n v="40816"/>
    <n v="137"/>
    <s v="#LiveForNow"/>
    <s v="#LiveForNow"/>
    <m/>
    <m/>
    <x v="1"/>
    <n v="8.4946236559139784E-2"/>
  </r>
  <r>
    <s v="P189"/>
    <x v="3"/>
    <d v="2025-03-24T00:00:00"/>
    <x v="0"/>
    <s v="Check out our latest reel on facebook!"/>
    <n v="3360"/>
    <n v="525"/>
    <n v="500"/>
    <n v="60480"/>
    <n v="59610"/>
    <n v="192"/>
    <s v="#PepsiCoRefresh"/>
    <s v="#PepsiCoRefresh"/>
    <m/>
    <m/>
    <x v="0"/>
    <n v="7.2503306878306875E-2"/>
  </r>
  <r>
    <s v="P190"/>
    <x v="1"/>
    <d v="2024-10-04T00:00:00"/>
    <x v="1"/>
    <s v="Check out our latest text on youtube!"/>
    <n v="1963"/>
    <n v="213"/>
    <n v="19"/>
    <n v="39260"/>
    <n v="38771"/>
    <n v="145"/>
    <s v="#LiveForNow"/>
    <s v="#LiveForNow"/>
    <m/>
    <m/>
    <x v="4"/>
    <n v="5.5909322465613857E-2"/>
  </r>
  <r>
    <s v="P191"/>
    <x v="1"/>
    <d v="2024-12-03T00:00:00"/>
    <x v="2"/>
    <s v="Check out our latest story on youtube!"/>
    <n v="4285"/>
    <n v="886"/>
    <n v="376"/>
    <n v="55705"/>
    <n v="55556"/>
    <n v="51"/>
    <s v="#LiveForNow"/>
    <s v="#LiveForNow"/>
    <m/>
    <m/>
    <x v="2"/>
    <n v="9.9578134817341346E-2"/>
  </r>
  <r>
    <s v="P192"/>
    <x v="2"/>
    <d v="2024-11-29T00:00:00"/>
    <x v="5"/>
    <s v="Check out our latest video on instagram!"/>
    <n v="1176"/>
    <n v="464"/>
    <n v="394"/>
    <n v="14112"/>
    <n v="13588"/>
    <n v="272"/>
    <s v="#ThirstyForMore"/>
    <s v="#ThirstyForMore"/>
    <m/>
    <m/>
    <x v="4"/>
    <n v="0.1441326530612245"/>
  </r>
  <r>
    <s v="P193"/>
    <x v="0"/>
    <d v="2024-09-11T00:00:00"/>
    <x v="4"/>
    <s v="Check out our latest image on twitter!"/>
    <n v="4858"/>
    <n v="317"/>
    <n v="129"/>
    <n v="53438"/>
    <n v="52687"/>
    <n v="223"/>
    <s v="#ThirstyForMore"/>
    <s v="#ThirstyForMore"/>
    <m/>
    <m/>
    <x v="2"/>
    <n v="9.9255211647142488E-2"/>
  </r>
  <r>
    <s v="P194"/>
    <x v="1"/>
    <d v="2024-10-02T00:00:00"/>
    <x v="2"/>
    <s v="Check out our latest story on youtube!"/>
    <n v="4350"/>
    <n v="771"/>
    <n v="7"/>
    <n v="60900"/>
    <n v="60592"/>
    <n v="195"/>
    <s v="#ThirstyForMore"/>
    <s v="#ThirstyForMore"/>
    <m/>
    <m/>
    <x v="0"/>
    <n v="8.4203612479474554E-2"/>
  </r>
  <r>
    <s v="P195"/>
    <x v="2"/>
    <d v="2024-08-15T00:00:00"/>
    <x v="3"/>
    <s v="Check out our latest carousel on instagram!"/>
    <n v="914"/>
    <n v="464"/>
    <n v="246"/>
    <n v="11882"/>
    <n v="11500"/>
    <n v="282"/>
    <s v="#LiveForNow,#PepsiCoRefresh,#AnytimeIsPepsiTime"/>
    <s v="#LiveForNow"/>
    <s v="#PepsiCoRefresh"/>
    <s v="#AnytimeIsPepsiTime"/>
    <x v="3"/>
    <n v="0.13667732704931829"/>
  </r>
  <r>
    <s v="P196"/>
    <x v="2"/>
    <d v="2024-12-19T00:00:00"/>
    <x v="1"/>
    <s v="Check out our latest text on instagram!"/>
    <n v="1813"/>
    <n v="623"/>
    <n v="72"/>
    <n v="19943"/>
    <n v="18959"/>
    <n v="85"/>
    <s v="#ThirstyForMore"/>
    <s v="#ThirstyForMore"/>
    <m/>
    <m/>
    <x v="2"/>
    <n v="0.12575841147269717"/>
  </r>
  <r>
    <s v="P197"/>
    <x v="0"/>
    <d v="2024-10-22T00:00:00"/>
    <x v="0"/>
    <s v="Check out our latest reel on twitter!"/>
    <n v="4782"/>
    <n v="721"/>
    <n v="82"/>
    <n v="86076"/>
    <n v="85339"/>
    <n v="19"/>
    <s v="#ThirstyForMore"/>
    <s v="#ThirstyForMore"/>
    <m/>
    <m/>
    <x v="0"/>
    <n v="6.4884520656164318E-2"/>
  </r>
  <r>
    <s v="P198"/>
    <x v="0"/>
    <d v="2024-09-14T00:00:00"/>
    <x v="4"/>
    <s v="Check out our latest image on twitter!"/>
    <n v="1048"/>
    <n v="374"/>
    <n v="450"/>
    <n v="9432"/>
    <n v="8882"/>
    <n v="158"/>
    <s v="#PepsiCoRefresh"/>
    <s v="#PepsiCoRefresh"/>
    <m/>
    <m/>
    <x v="2"/>
    <n v="0.19847328244274809"/>
  </r>
  <r>
    <s v="P199"/>
    <x v="1"/>
    <d v="2024-11-30T00:00:00"/>
    <x v="3"/>
    <s v="Check out our latest carousel on youtube!"/>
    <n v="2509"/>
    <n v="324"/>
    <n v="171"/>
    <n v="35126"/>
    <n v="34685"/>
    <n v="277"/>
    <s v="#PepsiCoRefresh"/>
    <s v="#PepsiCoRefresh"/>
    <m/>
    <m/>
    <x v="1"/>
    <n v="8.5520696919660646E-2"/>
  </r>
  <r>
    <s v="P200"/>
    <x v="3"/>
    <d v="2025-04-07T00:00:00"/>
    <x v="0"/>
    <s v="Check out our latest reel on facebook!"/>
    <n v="3718"/>
    <n v="385"/>
    <n v="310"/>
    <n v="70642"/>
    <n v="69749"/>
    <n v="233"/>
    <s v="#PepsiCoRefresh"/>
    <s v="#PepsiCoRefresh"/>
    <m/>
    <m/>
    <x v="1"/>
    <n v="6.246991874522239E-2"/>
  </r>
  <r>
    <s v="P201"/>
    <x v="0"/>
    <d v="2025-01-15T00:00:00"/>
    <x v="0"/>
    <s v="Check out our latest reel on twitter!"/>
    <n v="802"/>
    <n v="262"/>
    <n v="244"/>
    <n v="14436"/>
    <n v="14280"/>
    <n v="49"/>
    <s v="#ThirstyForMore"/>
    <s v="#ThirstyForMore"/>
    <m/>
    <m/>
    <x v="0"/>
    <n v="9.0606816292601824E-2"/>
  </r>
  <r>
    <s v="P202"/>
    <x v="3"/>
    <d v="2024-06-02T00:00:00"/>
    <x v="4"/>
    <s v="Check out our latest image on facebook!"/>
    <n v="1871"/>
    <n v="252"/>
    <n v="335"/>
    <n v="29936"/>
    <n v="29576"/>
    <n v="288"/>
    <s v="#ThirstyForMore"/>
    <s v="#ThirstyForMore"/>
    <m/>
    <m/>
    <x v="2"/>
    <n v="8.2108498129342594E-2"/>
  </r>
  <r>
    <s v="P203"/>
    <x v="2"/>
    <d v="2024-11-21T00:00:00"/>
    <x v="3"/>
    <s v="Check out our latest carousel on instagram!"/>
    <n v="3773"/>
    <n v="299"/>
    <n v="38"/>
    <n v="71687"/>
    <n v="71447"/>
    <n v="286"/>
    <s v="#LiveForNow"/>
    <s v="#LiveForNow"/>
    <m/>
    <m/>
    <x v="0"/>
    <n v="5.7332570758993957E-2"/>
  </r>
  <r>
    <s v="P204"/>
    <x v="2"/>
    <d v="2025-01-01T00:00:00"/>
    <x v="3"/>
    <s v="Check out our latest carousel on instagram!"/>
    <n v="2234"/>
    <n v="653"/>
    <n v="432"/>
    <n v="11170"/>
    <n v="10569"/>
    <n v="198"/>
    <s v="#LiveForNow"/>
    <s v="#LiveForNow"/>
    <m/>
    <m/>
    <x v="2"/>
    <n v="0.29713518352730528"/>
  </r>
  <r>
    <s v="P205"/>
    <x v="0"/>
    <d v="2025-04-24T00:00:00"/>
    <x v="5"/>
    <s v="Check out our latest video on twitter!"/>
    <n v="3820"/>
    <n v="697"/>
    <n v="268"/>
    <n v="45840"/>
    <n v="45631"/>
    <n v="171"/>
    <s v="#PepsiCoRefresh,#SmoothLikeNitroPepsi"/>
    <s v="#PepsiCoRefresh"/>
    <s v="#SmoothLikeNitroPepsi"/>
    <m/>
    <x v="3"/>
    <n v="0.1043848167539267"/>
  </r>
  <r>
    <s v="P206"/>
    <x v="0"/>
    <d v="2024-06-24T00:00:00"/>
    <x v="1"/>
    <s v="Check out our latest text on twitter!"/>
    <n v="941"/>
    <n v="121"/>
    <n v="458"/>
    <n v="14115"/>
    <n v="13838"/>
    <n v="87"/>
    <s v="#ThirstyForMore"/>
    <s v="#ThirstyForMore"/>
    <m/>
    <m/>
    <x v="0"/>
    <n v="0.10768685795253277"/>
  </r>
  <r>
    <s v="P207"/>
    <x v="0"/>
    <d v="2024-12-29T00:00:00"/>
    <x v="3"/>
    <s v="Check out our latest carousel on twitter!"/>
    <n v="4274"/>
    <n v="340"/>
    <n v="281"/>
    <n v="34192"/>
    <n v="33446"/>
    <n v="129"/>
    <s v="#PepsiCoRefresh,#SmoothLikeNitroPepsi"/>
    <s v="#PepsiCoRefresh"/>
    <s v="#SmoothLikeNitroPepsi"/>
    <m/>
    <x v="2"/>
    <n v="0.14316214319138981"/>
  </r>
  <r>
    <s v="P208"/>
    <x v="1"/>
    <d v="2024-06-24T00:00:00"/>
    <x v="5"/>
    <s v="Check out our latest video on youtube!"/>
    <n v="2949"/>
    <n v="476"/>
    <n v="403"/>
    <n v="44235"/>
    <n v="43705"/>
    <n v="135"/>
    <s v="#PepsiCoRefresh"/>
    <s v="#PepsiCoRefresh"/>
    <m/>
    <m/>
    <x v="1"/>
    <n v="8.6537809426924378E-2"/>
  </r>
  <r>
    <s v="P209"/>
    <x v="0"/>
    <d v="2025-03-19T00:00:00"/>
    <x v="5"/>
    <s v="Check out our latest video on twitter!"/>
    <n v="3160"/>
    <n v="204"/>
    <n v="297"/>
    <n v="44240"/>
    <n v="43666"/>
    <n v="49"/>
    <s v="#LiveForNow,#AnytimeIsPepsiTime"/>
    <s v="#LiveForNow"/>
    <s v="#AnytimeIsPepsiTime"/>
    <m/>
    <x v="3"/>
    <n v="8.2753164556962022E-2"/>
  </r>
  <r>
    <s v="P210"/>
    <x v="1"/>
    <d v="2025-02-19T00:00:00"/>
    <x v="4"/>
    <s v="Check out our latest image on youtube!"/>
    <n v="257"/>
    <n v="966"/>
    <n v="398"/>
    <n v="3341"/>
    <n v="2753"/>
    <n v="287"/>
    <s v="#LiveForNow"/>
    <s v="#LiveForNow"/>
    <m/>
    <m/>
    <x v="0"/>
    <n v="0.48518407662376534"/>
  </r>
  <r>
    <s v="P211"/>
    <x v="0"/>
    <d v="2024-07-18T00:00:00"/>
    <x v="3"/>
    <s v="Check out our latest carousel on twitter!"/>
    <n v="2120"/>
    <n v="38"/>
    <n v="212"/>
    <n v="12720"/>
    <n v="12564"/>
    <n v="21"/>
    <s v="#LiveForNow"/>
    <s v="#LiveForNow"/>
    <m/>
    <m/>
    <x v="3"/>
    <n v="0.18632075471698112"/>
  </r>
  <r>
    <s v="P212"/>
    <x v="1"/>
    <d v="2025-03-03T00:00:00"/>
    <x v="5"/>
    <s v="Check out our latest video on youtube!"/>
    <n v="3874"/>
    <n v="884"/>
    <n v="19"/>
    <n v="38740"/>
    <n v="38552"/>
    <n v="219"/>
    <s v="#PepsiCoRefresh"/>
    <s v="#PepsiCoRefresh"/>
    <m/>
    <m/>
    <x v="1"/>
    <n v="0.123309241094476"/>
  </r>
  <r>
    <s v="P213"/>
    <x v="3"/>
    <d v="2025-05-01T00:00:00"/>
    <x v="3"/>
    <s v="Check out our latest carousel on facebook!"/>
    <n v="2696"/>
    <n v="628"/>
    <n v="443"/>
    <n v="45832"/>
    <n v="45632"/>
    <n v="248"/>
    <s v="#ThirstyForMore"/>
    <s v="#ThirstyForMore"/>
    <m/>
    <m/>
    <x v="3"/>
    <n v="8.21914819340199E-2"/>
  </r>
  <r>
    <s v="P214"/>
    <x v="2"/>
    <d v="2024-12-23T00:00:00"/>
    <x v="4"/>
    <s v="Check out our latest image on instagram!"/>
    <n v="521"/>
    <n v="746"/>
    <n v="315"/>
    <n v="4168"/>
    <n v="3399"/>
    <n v="282"/>
    <s v="#LiveForNow"/>
    <s v="#LiveForNow"/>
    <m/>
    <m/>
    <x v="1"/>
    <n v="0.37955854126679461"/>
  </r>
  <r>
    <s v="P215"/>
    <x v="3"/>
    <d v="2025-05-06T00:00:00"/>
    <x v="4"/>
    <s v="Check out our latest image on facebook!"/>
    <n v="4872"/>
    <n v="925"/>
    <n v="176"/>
    <n v="82824"/>
    <n v="82543"/>
    <n v="89"/>
    <s v="#ThirstyForMore"/>
    <s v="#ThirstyForMore"/>
    <m/>
    <m/>
    <x v="1"/>
    <n v="7.2116777745580993E-2"/>
  </r>
  <r>
    <s v="P216"/>
    <x v="1"/>
    <d v="2024-07-29T00:00:00"/>
    <x v="2"/>
    <s v="Check out our latest story on youtube!"/>
    <n v="1509"/>
    <n v="88"/>
    <n v="163"/>
    <n v="30180"/>
    <n v="29689"/>
    <n v="119"/>
    <s v="#ThirstyForMore"/>
    <s v="#ThirstyForMore"/>
    <m/>
    <m/>
    <x v="1"/>
    <n v="5.8316766070245198E-2"/>
  </r>
  <r>
    <s v="P217"/>
    <x v="3"/>
    <d v="2024-12-03T00:00:00"/>
    <x v="4"/>
    <s v="Check out our latest image on facebook!"/>
    <n v="4606"/>
    <n v="931"/>
    <n v="230"/>
    <n v="92120"/>
    <n v="91440"/>
    <n v="56"/>
    <s v="#PepsiCoRefresh"/>
    <s v="#PepsiCoRefresh"/>
    <m/>
    <m/>
    <x v="4"/>
    <n v="6.2603126356925748E-2"/>
  </r>
  <r>
    <s v="P218"/>
    <x v="3"/>
    <d v="2024-06-11T00:00:00"/>
    <x v="3"/>
    <s v="Check out our latest carousel on facebook!"/>
    <n v="1869"/>
    <n v="453"/>
    <n v="490"/>
    <n v="14952"/>
    <n v="14309"/>
    <n v="275"/>
    <s v="#PepsiCoRefresh"/>
    <s v="#PepsiCoRefresh"/>
    <m/>
    <m/>
    <x v="3"/>
    <n v="0.18806848582129482"/>
  </r>
  <r>
    <s v="P219"/>
    <x v="0"/>
    <d v="2025-01-28T00:00:00"/>
    <x v="0"/>
    <s v="Check out our latest reel on twitter!"/>
    <n v="1188"/>
    <n v="470"/>
    <n v="174"/>
    <n v="7128"/>
    <n v="6145"/>
    <n v="270"/>
    <s v="#PepsiCoRefresh"/>
    <s v="#PepsiCoRefresh"/>
    <m/>
    <m/>
    <x v="3"/>
    <n v="0.25701459034792368"/>
  </r>
  <r>
    <s v="P220"/>
    <x v="2"/>
    <d v="2024-06-02T00:00:00"/>
    <x v="2"/>
    <s v="Check out our latest story on instagram!"/>
    <n v="84"/>
    <n v="897"/>
    <n v="85"/>
    <n v="588"/>
    <n v="8"/>
    <n v="12"/>
    <s v="#ThirstyForMore"/>
    <s v="#ThirstyForMore"/>
    <m/>
    <m/>
    <x v="4"/>
    <n v="1.8129251700680271"/>
  </r>
  <r>
    <s v="P221"/>
    <x v="3"/>
    <d v="2025-03-23T00:00:00"/>
    <x v="5"/>
    <s v="Check out our latest video on facebook!"/>
    <n v="4453"/>
    <n v="111"/>
    <n v="420"/>
    <n v="31171"/>
    <n v="30565"/>
    <n v="23"/>
    <s v="#PepsiCoRefresh"/>
    <s v="#PepsiCoRefresh"/>
    <m/>
    <m/>
    <x v="4"/>
    <n v="0.15989220750056141"/>
  </r>
  <r>
    <s v="P222"/>
    <x v="3"/>
    <d v="2024-10-08T00:00:00"/>
    <x v="0"/>
    <s v="Check out our latest reel on facebook!"/>
    <n v="1814"/>
    <n v="653"/>
    <n v="363"/>
    <n v="25396"/>
    <n v="25286"/>
    <n v="39"/>
    <s v="#LiveForNow,#SmoothLikeNitroPepsi"/>
    <s v="#LiveForNow"/>
    <s v="#SmoothLikeNitroPepsi"/>
    <m/>
    <x v="0"/>
    <n v="0.11143487163332809"/>
  </r>
  <r>
    <s v="P223"/>
    <x v="0"/>
    <d v="2024-11-12T00:00:00"/>
    <x v="4"/>
    <s v="Check out our latest image on twitter!"/>
    <n v="3338"/>
    <n v="277"/>
    <n v="118"/>
    <n v="60084"/>
    <n v="59842"/>
    <n v="252"/>
    <s v="#PepsiCoRefresh"/>
    <s v="#PepsiCoRefresh"/>
    <m/>
    <m/>
    <x v="4"/>
    <n v="6.2129685107516146E-2"/>
  </r>
  <r>
    <s v="P224"/>
    <x v="3"/>
    <d v="2025-05-13T00:00:00"/>
    <x v="4"/>
    <s v="Check out our latest image on facebook!"/>
    <n v="602"/>
    <n v="594"/>
    <n v="156"/>
    <n v="4214"/>
    <n v="3363"/>
    <n v="164"/>
    <s v="#PepsiCoRefresh"/>
    <s v="#PepsiCoRefresh"/>
    <m/>
    <m/>
    <x v="2"/>
    <n v="0.32083531086853345"/>
  </r>
  <r>
    <s v="P225"/>
    <x v="0"/>
    <d v="2024-06-20T00:00:00"/>
    <x v="3"/>
    <s v="Check out our latest carousel on twitter!"/>
    <n v="4672"/>
    <n v="325"/>
    <n v="32"/>
    <n v="88768"/>
    <n v="87833"/>
    <n v="118"/>
    <s v="#ThirstyForMore"/>
    <s v="#ThirstyForMore"/>
    <m/>
    <m/>
    <x v="4"/>
    <n v="5.6653298485940883E-2"/>
  </r>
  <r>
    <s v="P226"/>
    <x v="2"/>
    <d v="2024-08-07T00:00:00"/>
    <x v="3"/>
    <s v="Check out our latest carousel on instagram!"/>
    <n v="1741"/>
    <n v="164"/>
    <n v="318"/>
    <n v="8705"/>
    <n v="8272"/>
    <n v="121"/>
    <s v="#PepsiCoRefresh"/>
    <s v="#PepsiCoRefresh"/>
    <m/>
    <m/>
    <x v="4"/>
    <n v="0.25537047673750718"/>
  </r>
  <r>
    <s v="P227"/>
    <x v="2"/>
    <d v="2024-06-12T00:00:00"/>
    <x v="1"/>
    <s v="Check out our latest text on instagram!"/>
    <n v="246"/>
    <n v="149"/>
    <n v="130"/>
    <n v="4674"/>
    <n v="4390"/>
    <n v="217"/>
    <s v="#LiveForNow"/>
    <s v="#LiveForNow"/>
    <m/>
    <m/>
    <x v="2"/>
    <n v="0.11232349165596919"/>
  </r>
  <r>
    <s v="P228"/>
    <x v="2"/>
    <d v="2024-07-01T00:00:00"/>
    <x v="2"/>
    <s v="Check out our latest story on instagram!"/>
    <n v="4808"/>
    <n v="772"/>
    <n v="320"/>
    <n v="72120"/>
    <n v="71696"/>
    <n v="195"/>
    <s v="#ThirstyForMore"/>
    <s v="#ThirstyForMore"/>
    <m/>
    <m/>
    <x v="0"/>
    <n v="8.1808097615085965E-2"/>
  </r>
  <r>
    <s v="P229"/>
    <x v="2"/>
    <d v="2024-07-03T00:00:00"/>
    <x v="3"/>
    <s v="Check out our latest carousel on instagram!"/>
    <n v="4799"/>
    <n v="694"/>
    <n v="289"/>
    <n v="43191"/>
    <n v="42228"/>
    <n v="118"/>
    <s v="#PepsiCoRefresh"/>
    <s v="#PepsiCoRefresh"/>
    <m/>
    <m/>
    <x v="4"/>
    <n v="0.13387048227640017"/>
  </r>
  <r>
    <s v="P230"/>
    <x v="3"/>
    <d v="2024-07-15T00:00:00"/>
    <x v="0"/>
    <s v="Check out our latest reel on facebook!"/>
    <n v="3663"/>
    <n v="17"/>
    <n v="295"/>
    <n v="51282"/>
    <n v="50567"/>
    <n v="84"/>
    <s v="#ThirstyForMore"/>
    <s v="#ThirstyForMore"/>
    <m/>
    <m/>
    <x v="2"/>
    <n v="7.7512577512577507E-2"/>
  </r>
  <r>
    <s v="P231"/>
    <x v="2"/>
    <d v="2025-05-01T00:00:00"/>
    <x v="1"/>
    <s v="Check out our latest text on instagram!"/>
    <n v="1430"/>
    <n v="376"/>
    <n v="33"/>
    <n v="21450"/>
    <n v="20509"/>
    <n v="251"/>
    <s v="#LiveForNow"/>
    <s v="#LiveForNow"/>
    <m/>
    <m/>
    <x v="0"/>
    <n v="8.5734265734265735E-2"/>
  </r>
  <r>
    <s v="P232"/>
    <x v="0"/>
    <d v="2025-04-29T00:00:00"/>
    <x v="2"/>
    <s v="Check out our latest story on twitter!"/>
    <n v="249"/>
    <n v="592"/>
    <n v="230"/>
    <n v="1494"/>
    <n v="1044"/>
    <n v="201"/>
    <s v="#ThirstyForMore"/>
    <s v="#ThirstyForMore"/>
    <m/>
    <m/>
    <x v="3"/>
    <n v="0.7168674698795181"/>
  </r>
  <r>
    <s v="P233"/>
    <x v="3"/>
    <d v="2025-03-08T00:00:00"/>
    <x v="4"/>
    <s v="Check out our latest image on facebook!"/>
    <n v="2382"/>
    <n v="265"/>
    <n v="134"/>
    <n v="38112"/>
    <n v="37437"/>
    <n v="249"/>
    <s v="#LiveForNow"/>
    <s v="#LiveForNow"/>
    <m/>
    <m/>
    <x v="3"/>
    <n v="7.2969143576826198E-2"/>
  </r>
  <r>
    <s v="P234"/>
    <x v="3"/>
    <d v="2024-06-01T00:00:00"/>
    <x v="1"/>
    <s v="Check out our latest text on facebook!"/>
    <n v="1272"/>
    <n v="465"/>
    <n v="99"/>
    <n v="24168"/>
    <n v="23719"/>
    <n v="42"/>
    <s v="#PepsiCoRefresh"/>
    <s v="#PepsiCoRefresh"/>
    <m/>
    <m/>
    <x v="4"/>
    <n v="7.5968222442899705E-2"/>
  </r>
  <r>
    <s v="P235"/>
    <x v="3"/>
    <d v="2024-12-22T00:00:00"/>
    <x v="4"/>
    <s v="Check out our latest image on facebook!"/>
    <n v="3196"/>
    <n v="941"/>
    <n v="376"/>
    <n v="35156"/>
    <n v="34444"/>
    <n v="241"/>
    <s v="#PepsiCoRefresh"/>
    <s v="#PepsiCoRefresh"/>
    <m/>
    <m/>
    <x v="2"/>
    <n v="0.1283706906360223"/>
  </r>
  <r>
    <s v="P236"/>
    <x v="3"/>
    <d v="2024-08-19T00:00:00"/>
    <x v="1"/>
    <s v="Check out our latest text on facebook!"/>
    <n v="1257"/>
    <n v="19"/>
    <n v="351"/>
    <n v="12570"/>
    <n v="11660"/>
    <n v="194"/>
    <s v="#LiveForNow,#AnytimeIsPepsiTime,#ThirstyForMore"/>
    <s v="#LiveForNow"/>
    <s v="#AnytimeIsPepsiTime"/>
    <s v="#ThirstyForMore"/>
    <x v="1"/>
    <n v="0.12943516308671441"/>
  </r>
  <r>
    <s v="P237"/>
    <x v="2"/>
    <d v="2024-10-22T00:00:00"/>
    <x v="2"/>
    <s v="Check out our latest story on instagram!"/>
    <n v="3770"/>
    <n v="917"/>
    <n v="129"/>
    <n v="71630"/>
    <n v="71322"/>
    <n v="76"/>
    <s v="#LiveForNow"/>
    <s v="#LiveForNow"/>
    <m/>
    <m/>
    <x v="0"/>
    <n v="6.7234398994834563E-2"/>
  </r>
  <r>
    <s v="P238"/>
    <x v="0"/>
    <d v="2024-07-16T00:00:00"/>
    <x v="1"/>
    <s v="Check out our latest text on twitter!"/>
    <n v="4725"/>
    <n v="400"/>
    <n v="362"/>
    <n v="75600"/>
    <n v="74927"/>
    <n v="43"/>
    <s v="#LiveForNow"/>
    <s v="#LiveForNow"/>
    <m/>
    <m/>
    <x v="3"/>
    <n v="7.2579365079365077E-2"/>
  </r>
  <r>
    <s v="P239"/>
    <x v="1"/>
    <d v="2025-02-24T00:00:00"/>
    <x v="1"/>
    <s v="Check out our latest text on youtube!"/>
    <n v="4188"/>
    <n v="942"/>
    <n v="118"/>
    <n v="20940"/>
    <n v="20471"/>
    <n v="102"/>
    <s v="#LiveForNow"/>
    <s v="#LiveForNow"/>
    <m/>
    <m/>
    <x v="4"/>
    <n v="0.25062082139446035"/>
  </r>
  <r>
    <s v="P240"/>
    <x v="0"/>
    <d v="2024-08-26T00:00:00"/>
    <x v="3"/>
    <s v="Check out our latest carousel on twitter!"/>
    <n v="929"/>
    <n v="192"/>
    <n v="322"/>
    <n v="16722"/>
    <n v="15996"/>
    <n v="145"/>
    <s v="#ThirstyForMore,#PepsiCoRefresh,#AnytimeIsPepsiTime"/>
    <s v="#ThirstyForMore"/>
    <s v="#PepsiCoRefresh"/>
    <s v="#AnytimeIsPepsiTime"/>
    <x v="2"/>
    <n v="8.6293505561535699E-2"/>
  </r>
  <r>
    <s v="P241"/>
    <x v="3"/>
    <d v="2025-01-18T00:00:00"/>
    <x v="2"/>
    <s v="Check out our latest story on facebook!"/>
    <n v="4321"/>
    <n v="874"/>
    <n v="172"/>
    <n v="30247"/>
    <n v="29254"/>
    <n v="122"/>
    <s v="#PepsiCoRefresh"/>
    <s v="#PepsiCoRefresh"/>
    <m/>
    <m/>
    <x v="3"/>
    <n v="0.17743908486792079"/>
  </r>
  <r>
    <s v="P242"/>
    <x v="3"/>
    <d v="2024-07-07T00:00:00"/>
    <x v="0"/>
    <s v="Check out our latest reel on facebook!"/>
    <n v="4767"/>
    <n v="190"/>
    <n v="340"/>
    <n v="28602"/>
    <n v="28044"/>
    <n v="210"/>
    <s v="#ThirstyForMore"/>
    <s v="#ThirstyForMore"/>
    <m/>
    <m/>
    <x v="2"/>
    <n v="0.18519683938186141"/>
  </r>
  <r>
    <s v="P243"/>
    <x v="0"/>
    <d v="2025-03-06T00:00:00"/>
    <x v="4"/>
    <s v="Check out our latest image on twitter!"/>
    <n v="3592"/>
    <n v="911"/>
    <n v="375"/>
    <n v="50288"/>
    <n v="49490"/>
    <n v="32"/>
    <s v="#LiveForNow"/>
    <s v="#LiveForNow"/>
    <m/>
    <m/>
    <x v="3"/>
    <n v="9.7001272669424113E-2"/>
  </r>
  <r>
    <s v="P244"/>
    <x v="1"/>
    <d v="2024-10-25T00:00:00"/>
    <x v="5"/>
    <s v="Check out our latest video on youtube!"/>
    <n v="4661"/>
    <n v="935"/>
    <n v="433"/>
    <n v="23305"/>
    <n v="22583"/>
    <n v="63"/>
    <s v="#LiveForNow"/>
    <s v="#LiveForNow"/>
    <m/>
    <m/>
    <x v="2"/>
    <n v="0.25869984981763572"/>
  </r>
  <r>
    <s v="P245"/>
    <x v="3"/>
    <d v="2025-01-12T00:00:00"/>
    <x v="0"/>
    <s v="Check out our latest reel on facebook!"/>
    <n v="4134"/>
    <n v="824"/>
    <n v="99"/>
    <n v="41340"/>
    <n v="41050"/>
    <n v="177"/>
    <s v="#ThirstyForMore"/>
    <s v="#ThirstyForMore"/>
    <m/>
    <m/>
    <x v="0"/>
    <n v="0.12232704402515723"/>
  </r>
  <r>
    <s v="P246"/>
    <x v="3"/>
    <d v="2024-10-11T00:00:00"/>
    <x v="4"/>
    <s v="Check out our latest image on facebook!"/>
    <n v="400"/>
    <n v="680"/>
    <n v="434"/>
    <n v="6400"/>
    <n v="5472"/>
    <n v="160"/>
    <s v="#LiveForNow"/>
    <s v="#LiveForNow"/>
    <m/>
    <m/>
    <x v="1"/>
    <n v="0.23656250000000001"/>
  </r>
  <r>
    <s v="P247"/>
    <x v="3"/>
    <d v="2024-08-27T00:00:00"/>
    <x v="0"/>
    <s v="Check out our latest reel on facebook!"/>
    <n v="3960"/>
    <n v="266"/>
    <n v="8"/>
    <n v="35640"/>
    <n v="34850"/>
    <n v="208"/>
    <s v="#LiveForNow,#ThirstyForMore,#BetterWithPepsi"/>
    <s v="#LiveForNow"/>
    <s v="#ThirstyForMore"/>
    <s v="#BetterWithPepsi"/>
    <x v="4"/>
    <n v="0.11879910213243547"/>
  </r>
  <r>
    <s v="P248"/>
    <x v="3"/>
    <d v="2025-02-02T00:00:00"/>
    <x v="2"/>
    <s v="Check out our latest story on facebook!"/>
    <n v="886"/>
    <n v="126"/>
    <n v="153"/>
    <n v="4430"/>
    <n v="4037"/>
    <n v="212"/>
    <s v="#ThirstyForMore"/>
    <s v="#ThirstyForMore"/>
    <m/>
    <m/>
    <x v="4"/>
    <n v="0.26297968397291194"/>
  </r>
  <r>
    <s v="P249"/>
    <x v="0"/>
    <d v="2024-07-18T00:00:00"/>
    <x v="4"/>
    <s v="Check out our latest image on twitter!"/>
    <n v="827"/>
    <n v="77"/>
    <n v="402"/>
    <n v="14886"/>
    <n v="14129"/>
    <n v="254"/>
    <s v="#ThirstyForMore"/>
    <s v="#ThirstyForMore"/>
    <m/>
    <m/>
    <x v="1"/>
    <n v="8.7733440816874911E-2"/>
  </r>
  <r>
    <s v="P250"/>
    <x v="3"/>
    <d v="2024-06-22T00:00:00"/>
    <x v="0"/>
    <s v="Check out our latest reel on facebook!"/>
    <n v="3813"/>
    <n v="935"/>
    <n v="274"/>
    <n v="68634"/>
    <n v="68488"/>
    <n v="251"/>
    <s v="#LiveForNow"/>
    <s v="#LiveForNow"/>
    <m/>
    <m/>
    <x v="4"/>
    <n v="7.3170731707317069E-2"/>
  </r>
  <r>
    <s v="P251"/>
    <x v="2"/>
    <d v="2025-03-27T00:00:00"/>
    <x v="3"/>
    <s v="Check out our latest carousel on instagram!"/>
    <n v="1377"/>
    <n v="796"/>
    <n v="387"/>
    <n v="22032"/>
    <n v="21869"/>
    <n v="189"/>
    <s v="#LiveForNow"/>
    <s v="#LiveForNow"/>
    <m/>
    <m/>
    <x v="4"/>
    <n v="0.11619462599854757"/>
  </r>
  <r>
    <s v="P252"/>
    <x v="3"/>
    <d v="2025-04-28T00:00:00"/>
    <x v="3"/>
    <s v="Check out our latest carousel on facebook!"/>
    <n v="2089"/>
    <n v="476"/>
    <n v="69"/>
    <n v="16712"/>
    <n v="16309"/>
    <n v="64"/>
    <s v="#LiveForNow"/>
    <s v="#LiveForNow"/>
    <m/>
    <m/>
    <x v="2"/>
    <n v="0.15761129727142173"/>
  </r>
  <r>
    <s v="P253"/>
    <x v="0"/>
    <d v="2024-08-03T00:00:00"/>
    <x v="0"/>
    <s v="Check out our latest reel on twitter!"/>
    <n v="3791"/>
    <n v="593"/>
    <n v="228"/>
    <n v="53074"/>
    <n v="52613"/>
    <n v="205"/>
    <s v="#ThirstyForMore"/>
    <s v="#ThirstyForMore"/>
    <m/>
    <m/>
    <x v="4"/>
    <n v="8.6897539284772202E-2"/>
  </r>
  <r>
    <s v="P254"/>
    <x v="0"/>
    <d v="2025-01-14T00:00:00"/>
    <x v="4"/>
    <s v="Check out our latest image on twitter!"/>
    <n v="2692"/>
    <n v="115"/>
    <n v="64"/>
    <n v="21536"/>
    <n v="21120"/>
    <n v="224"/>
    <s v="#LiveForNow"/>
    <s v="#LiveForNow"/>
    <m/>
    <m/>
    <x v="1"/>
    <n v="0.13331166419019316"/>
  </r>
  <r>
    <s v="P255"/>
    <x v="3"/>
    <d v="2025-04-03T00:00:00"/>
    <x v="2"/>
    <s v="Check out our latest story on facebook!"/>
    <n v="3767"/>
    <n v="514"/>
    <n v="238"/>
    <n v="37670"/>
    <n v="36807"/>
    <n v="226"/>
    <s v="#LiveForNow"/>
    <s v="#LiveForNow"/>
    <m/>
    <m/>
    <x v="3"/>
    <n v="0.11996283514733209"/>
  </r>
  <r>
    <s v="P256"/>
    <x v="1"/>
    <d v="2024-09-18T00:00:00"/>
    <x v="3"/>
    <s v="Check out our latest carousel on youtube!"/>
    <n v="2143"/>
    <n v="12"/>
    <n v="204"/>
    <n v="40717"/>
    <n v="40125"/>
    <n v="248"/>
    <s v="#ThirstyForMore"/>
    <s v="#ThirstyForMore"/>
    <m/>
    <m/>
    <x v="1"/>
    <n v="5.7936488444630008E-2"/>
  </r>
  <r>
    <s v="P257"/>
    <x v="3"/>
    <d v="2025-04-06T00:00:00"/>
    <x v="4"/>
    <s v="Check out our latest image on facebook!"/>
    <n v="3090"/>
    <n v="697"/>
    <n v="164"/>
    <n v="49440"/>
    <n v="48524"/>
    <n v="25"/>
    <s v="#ThirstyForMore,#ThirstyForMore,#BetterWithPepsi"/>
    <s v="#ThirstyForMore"/>
    <s v="#ThirstyForMore"/>
    <s v="#BetterWithPepsi"/>
    <x v="1"/>
    <n v="7.9915048543689318E-2"/>
  </r>
  <r>
    <s v="P258"/>
    <x v="2"/>
    <d v="2024-08-05T00:00:00"/>
    <x v="2"/>
    <s v="Check out our latest story on instagram!"/>
    <n v="3601"/>
    <n v="695"/>
    <n v="75"/>
    <n v="21606"/>
    <n v="21454"/>
    <n v="172"/>
    <s v="#ThirstyForMore"/>
    <s v="#ThirstyForMore"/>
    <m/>
    <m/>
    <x v="1"/>
    <n v="0.2023049153013052"/>
  </r>
  <r>
    <s v="P259"/>
    <x v="3"/>
    <d v="2025-02-10T00:00:00"/>
    <x v="1"/>
    <s v="Check out our latest text on facebook!"/>
    <n v="562"/>
    <n v="158"/>
    <n v="149"/>
    <n v="3372"/>
    <n v="2940"/>
    <n v="93"/>
    <s v="#PepsiCoRefresh"/>
    <s v="#PepsiCoRefresh"/>
    <m/>
    <m/>
    <x v="0"/>
    <n v="0.25771055753262156"/>
  </r>
  <r>
    <s v="P260"/>
    <x v="2"/>
    <d v="2025-02-12T00:00:00"/>
    <x v="2"/>
    <s v="Check out our latest story on instagram!"/>
    <n v="4332"/>
    <n v="771"/>
    <n v="219"/>
    <n v="60648"/>
    <n v="60397"/>
    <n v="10"/>
    <s v="#PepsiCoRefresh,#ThirstyForMore,#BetterWithPepsi"/>
    <s v="#PepsiCoRefresh"/>
    <s v="#ThirstyForMore"/>
    <s v="#BetterWithPepsi"/>
    <x v="2"/>
    <n v="8.7752275425405618E-2"/>
  </r>
  <r>
    <s v="P261"/>
    <x v="2"/>
    <d v="2024-10-27T00:00:00"/>
    <x v="4"/>
    <s v="Check out our latest image on instagram!"/>
    <n v="4853"/>
    <n v="837"/>
    <n v="340"/>
    <n v="72795"/>
    <n v="72237"/>
    <n v="170"/>
    <s v="#ThirstyForMore"/>
    <s v="#ThirstyForMore"/>
    <m/>
    <m/>
    <x v="0"/>
    <n v="8.2835359571399134E-2"/>
  </r>
  <r>
    <s v="P262"/>
    <x v="1"/>
    <d v="2025-01-18T00:00:00"/>
    <x v="4"/>
    <s v="Check out our latest image on youtube!"/>
    <n v="1206"/>
    <n v="238"/>
    <n v="36"/>
    <n v="9648"/>
    <n v="9417"/>
    <n v="237"/>
    <s v="#PepsiCoRefresh"/>
    <s v="#PepsiCoRefresh"/>
    <m/>
    <m/>
    <x v="4"/>
    <n v="0.15339966832504145"/>
  </r>
  <r>
    <s v="P263"/>
    <x v="2"/>
    <d v="2024-08-20T00:00:00"/>
    <x v="0"/>
    <s v="Check out our latest reel on instagram!"/>
    <n v="2603"/>
    <n v="690"/>
    <n v="205"/>
    <n v="13015"/>
    <n v="12130"/>
    <n v="20"/>
    <s v="#LiveForNow"/>
    <s v="#LiveForNow"/>
    <m/>
    <m/>
    <x v="1"/>
    <n v="0.26876680752977333"/>
  </r>
  <r>
    <s v="P264"/>
    <x v="0"/>
    <d v="2025-01-30T00:00:00"/>
    <x v="4"/>
    <s v="Check out our latest image on twitter!"/>
    <n v="59"/>
    <n v="163"/>
    <n v="93"/>
    <n v="590"/>
    <n v="475"/>
    <n v="293"/>
    <s v="#PepsiCoRefresh"/>
    <s v="#PepsiCoRefresh"/>
    <m/>
    <m/>
    <x v="1"/>
    <n v="0.53389830508474578"/>
  </r>
  <r>
    <s v="P265"/>
    <x v="0"/>
    <d v="2025-02-20T00:00:00"/>
    <x v="3"/>
    <s v="Check out our latest carousel on twitter!"/>
    <n v="1877"/>
    <n v="745"/>
    <n v="225"/>
    <n v="11262"/>
    <n v="10967"/>
    <n v="41"/>
    <s v="#ThirstyForMore"/>
    <s v="#ThirstyForMore"/>
    <m/>
    <m/>
    <x v="3"/>
    <n v="0.25279701651571657"/>
  </r>
  <r>
    <s v="P266"/>
    <x v="3"/>
    <d v="2024-11-25T00:00:00"/>
    <x v="2"/>
    <s v="Check out our latest story on facebook!"/>
    <n v="4182"/>
    <n v="640"/>
    <n v="240"/>
    <n v="50184"/>
    <n v="49351"/>
    <n v="10"/>
    <s v="#PepsiCoRefresh"/>
    <s v="#PepsiCoRefresh"/>
    <m/>
    <m/>
    <x v="2"/>
    <n v="0.10086880280567512"/>
  </r>
  <r>
    <s v="P267"/>
    <x v="0"/>
    <d v="2024-10-04T00:00:00"/>
    <x v="0"/>
    <s v="Check out our latest reel on twitter!"/>
    <n v="4187"/>
    <n v="66"/>
    <n v="31"/>
    <n v="66992"/>
    <n v="66614"/>
    <n v="62"/>
    <s v="#LiveForNow"/>
    <s v="#LiveForNow"/>
    <m/>
    <m/>
    <x v="4"/>
    <n v="6.3947934081681396E-2"/>
  </r>
  <r>
    <s v="P268"/>
    <x v="2"/>
    <d v="2025-04-13T00:00:00"/>
    <x v="0"/>
    <s v="Check out our latest reel on instagram!"/>
    <n v="4579"/>
    <n v="125"/>
    <n v="300"/>
    <n v="59527"/>
    <n v="59400"/>
    <n v="269"/>
    <s v="#ThirstyForMore"/>
    <s v="#ThirstyForMore"/>
    <m/>
    <m/>
    <x v="0"/>
    <n v="8.4062694239588759E-2"/>
  </r>
  <r>
    <s v="P269"/>
    <x v="2"/>
    <d v="2024-11-05T00:00:00"/>
    <x v="5"/>
    <s v="Check out our latest video on instagram!"/>
    <n v="4561"/>
    <n v="51"/>
    <n v="441"/>
    <n v="22805"/>
    <n v="21890"/>
    <n v="45"/>
    <s v="#PepsiCoRefresh"/>
    <s v="#PepsiCoRefresh"/>
    <m/>
    <m/>
    <x v="1"/>
    <n v="0.22157421618066214"/>
  </r>
  <r>
    <s v="P270"/>
    <x v="1"/>
    <d v="2025-01-15T00:00:00"/>
    <x v="0"/>
    <s v="Check out our latest reel on youtube!"/>
    <n v="3774"/>
    <n v="239"/>
    <n v="39"/>
    <n v="60384"/>
    <n v="59490"/>
    <n v="241"/>
    <s v="#PepsiCoRefresh"/>
    <s v="#PepsiCoRefresh"/>
    <m/>
    <m/>
    <x v="2"/>
    <n v="6.7103868574456813E-2"/>
  </r>
  <r>
    <s v="P271"/>
    <x v="2"/>
    <d v="2024-10-17T00:00:00"/>
    <x v="5"/>
    <s v="Check out our latest video on instagram!"/>
    <n v="3575"/>
    <n v="749"/>
    <n v="111"/>
    <n v="21450"/>
    <n v="20785"/>
    <n v="195"/>
    <s v="#ThirstyForMore"/>
    <s v="#ThirstyForMore"/>
    <m/>
    <m/>
    <x v="1"/>
    <n v="0.20675990675990677"/>
  </r>
  <r>
    <s v="P272"/>
    <x v="2"/>
    <d v="2025-03-27T00:00:00"/>
    <x v="1"/>
    <s v="Check out our latest text on instagram!"/>
    <n v="4941"/>
    <n v="414"/>
    <n v="266"/>
    <n v="39528"/>
    <n v="39154"/>
    <n v="217"/>
    <s v="#PepsiCoRefresh"/>
    <s v="#PepsiCoRefresh"/>
    <m/>
    <m/>
    <x v="2"/>
    <n v="0.14220299534507186"/>
  </r>
  <r>
    <s v="P273"/>
    <x v="1"/>
    <d v="2024-10-12T00:00:00"/>
    <x v="2"/>
    <s v="Check out our latest story on youtube!"/>
    <n v="3641"/>
    <n v="226"/>
    <n v="46"/>
    <n v="40051"/>
    <n v="39319"/>
    <n v="296"/>
    <s v="#ThirstyForMore"/>
    <s v="#ThirstyForMore"/>
    <m/>
    <m/>
    <x v="3"/>
    <n v="9.7700431949264685E-2"/>
  </r>
  <r>
    <s v="P274"/>
    <x v="0"/>
    <d v="2025-01-01T00:00:00"/>
    <x v="3"/>
    <s v="Check out our latest carousel on twitter!"/>
    <n v="3535"/>
    <n v="494"/>
    <n v="152"/>
    <n v="53025"/>
    <n v="52791"/>
    <n v="44"/>
    <s v="#PepsiCoRefresh"/>
    <s v="#PepsiCoRefresh"/>
    <m/>
    <m/>
    <x v="3"/>
    <n v="7.8849599245638849E-2"/>
  </r>
  <r>
    <s v="P275"/>
    <x v="3"/>
    <d v="2024-08-05T00:00:00"/>
    <x v="0"/>
    <s v="Check out our latest reel on facebook!"/>
    <n v="1741"/>
    <n v="831"/>
    <n v="345"/>
    <n v="17410"/>
    <n v="16844"/>
    <n v="58"/>
    <s v="#ThirstyForMore"/>
    <s v="#ThirstyForMore"/>
    <m/>
    <m/>
    <x v="2"/>
    <n v="0.16754738655944859"/>
  </r>
  <r>
    <s v="P276"/>
    <x v="0"/>
    <d v="2024-06-07T00:00:00"/>
    <x v="3"/>
    <s v="Check out our latest carousel on twitter!"/>
    <n v="1556"/>
    <n v="195"/>
    <n v="131"/>
    <n v="9336"/>
    <n v="8875"/>
    <n v="137"/>
    <s v="#PepsiCoRefresh"/>
    <s v="#PepsiCoRefresh"/>
    <m/>
    <m/>
    <x v="1"/>
    <n v="0.2015852613538989"/>
  </r>
  <r>
    <s v="P277"/>
    <x v="3"/>
    <d v="2025-04-06T00:00:00"/>
    <x v="4"/>
    <s v="Check out our latest image on facebook!"/>
    <n v="4236"/>
    <n v="711"/>
    <n v="298"/>
    <n v="21180"/>
    <n v="20516"/>
    <n v="238"/>
    <s v="#LiveForNow"/>
    <s v="#LiveForNow"/>
    <m/>
    <m/>
    <x v="0"/>
    <n v="0.24763928234183191"/>
  </r>
  <r>
    <s v="P278"/>
    <x v="0"/>
    <d v="2024-11-26T00:00:00"/>
    <x v="1"/>
    <s v="Check out our latest text on twitter!"/>
    <n v="4516"/>
    <n v="836"/>
    <n v="169"/>
    <n v="49676"/>
    <n v="49257"/>
    <n v="282"/>
    <s v="#ThirstyForMore"/>
    <s v="#ThirstyForMore"/>
    <m/>
    <m/>
    <x v="3"/>
    <n v="0.11114018842096787"/>
  </r>
  <r>
    <s v="P279"/>
    <x v="1"/>
    <d v="2024-09-02T00:00:00"/>
    <x v="4"/>
    <s v="Check out our latest image on youtube!"/>
    <n v="4905"/>
    <n v="845"/>
    <n v="129"/>
    <n v="98100"/>
    <n v="97772"/>
    <n v="279"/>
    <s v="#PepsiCoRefresh"/>
    <s v="#PepsiCoRefresh"/>
    <m/>
    <m/>
    <x v="1"/>
    <n v="5.9928644240570844E-2"/>
  </r>
  <r>
    <s v="P280"/>
    <x v="1"/>
    <d v="2024-10-21T00:00:00"/>
    <x v="5"/>
    <s v="Check out our latest video on youtube!"/>
    <n v="4275"/>
    <n v="680"/>
    <n v="385"/>
    <n v="64125"/>
    <n v="63650"/>
    <n v="104"/>
    <s v="#ThirstyForMore,#PepsiCoRefresh,#AnytimeIsPepsiTime"/>
    <s v="#ThirstyForMore"/>
    <s v="#PepsiCoRefresh"/>
    <s v="#AnytimeIsPepsiTime"/>
    <x v="3"/>
    <n v="8.3274853801169585E-2"/>
  </r>
  <r>
    <s v="P281"/>
    <x v="1"/>
    <d v="2025-03-22T00:00:00"/>
    <x v="4"/>
    <s v="Check out our latest image on youtube!"/>
    <n v="3166"/>
    <n v="90"/>
    <n v="341"/>
    <n v="56988"/>
    <n v="56125"/>
    <n v="135"/>
    <s v="#ThirstyForMore"/>
    <s v="#ThirstyForMore"/>
    <m/>
    <m/>
    <x v="1"/>
    <n v="6.3118551273952411E-2"/>
  </r>
  <r>
    <s v="P282"/>
    <x v="2"/>
    <d v="2024-10-03T00:00:00"/>
    <x v="5"/>
    <s v="Check out our latest video on instagram!"/>
    <n v="1488"/>
    <n v="417"/>
    <n v="168"/>
    <n v="19344"/>
    <n v="18395"/>
    <n v="30"/>
    <s v="#LiveForNow"/>
    <s v="#LiveForNow"/>
    <m/>
    <m/>
    <x v="2"/>
    <n v="0.1071650124069479"/>
  </r>
  <r>
    <s v="P283"/>
    <x v="0"/>
    <d v="2025-05-09T00:00:00"/>
    <x v="0"/>
    <s v="Check out our latest reel on twitter!"/>
    <n v="3367"/>
    <n v="302"/>
    <n v="57"/>
    <n v="63973"/>
    <n v="63789"/>
    <n v="157"/>
    <s v="#LiveForNow"/>
    <s v="#LiveForNow"/>
    <m/>
    <m/>
    <x v="1"/>
    <n v="5.8243321401216137E-2"/>
  </r>
  <r>
    <s v="P284"/>
    <x v="0"/>
    <d v="2024-09-17T00:00:00"/>
    <x v="1"/>
    <s v="Check out our latest text on twitter!"/>
    <n v="571"/>
    <n v="190"/>
    <n v="352"/>
    <n v="9707"/>
    <n v="9418"/>
    <n v="231"/>
    <s v="#PepsiCoRefresh"/>
    <s v="#PepsiCoRefresh"/>
    <m/>
    <m/>
    <x v="3"/>
    <n v="0.11465952405480581"/>
  </r>
  <r>
    <s v="P285"/>
    <x v="1"/>
    <d v="2024-07-18T00:00:00"/>
    <x v="1"/>
    <s v="Check out our latest text on youtube!"/>
    <n v="4021"/>
    <n v="794"/>
    <n v="77"/>
    <n v="36189"/>
    <n v="35505"/>
    <n v="174"/>
    <s v="#ThirstyForMore"/>
    <s v="#ThirstyForMore"/>
    <m/>
    <m/>
    <x v="4"/>
    <n v="0.13517919809886983"/>
  </r>
  <r>
    <s v="P286"/>
    <x v="1"/>
    <d v="2024-09-25T00:00:00"/>
    <x v="5"/>
    <s v="Check out our latest video on youtube!"/>
    <n v="3389"/>
    <n v="344"/>
    <n v="229"/>
    <n v="20334"/>
    <n v="19443"/>
    <n v="228"/>
    <s v="#LiveForNow"/>
    <s v="#LiveForNow"/>
    <m/>
    <m/>
    <x v="2"/>
    <n v="0.19484607062063539"/>
  </r>
  <r>
    <s v="P287"/>
    <x v="2"/>
    <d v="2024-08-15T00:00:00"/>
    <x v="0"/>
    <s v="Check out our latest reel on instagram!"/>
    <n v="1164"/>
    <n v="616"/>
    <n v="324"/>
    <n v="6984"/>
    <n v="6636"/>
    <n v="82"/>
    <s v="#ThirstyForMore"/>
    <s v="#ThirstyForMore"/>
    <m/>
    <m/>
    <x v="0"/>
    <n v="0.30126002290950743"/>
  </r>
  <r>
    <s v="P288"/>
    <x v="1"/>
    <d v="2025-04-17T00:00:00"/>
    <x v="3"/>
    <s v="Check out our latest carousel on youtube!"/>
    <n v="4780"/>
    <n v="691"/>
    <n v="380"/>
    <n v="86040"/>
    <n v="85743"/>
    <n v="262"/>
    <s v="#LiveForNow"/>
    <s v="#LiveForNow"/>
    <m/>
    <m/>
    <x v="2"/>
    <n v="6.800325430032543E-2"/>
  </r>
  <r>
    <s v="P289"/>
    <x v="3"/>
    <d v="2024-11-28T00:00:00"/>
    <x v="3"/>
    <s v="Check out our latest carousel on facebook!"/>
    <n v="2751"/>
    <n v="33"/>
    <n v="430"/>
    <n v="44016"/>
    <n v="43415"/>
    <n v="129"/>
    <s v="#LiveForNow"/>
    <s v="#LiveForNow"/>
    <m/>
    <m/>
    <x v="4"/>
    <n v="7.3018902217375503E-2"/>
  </r>
  <r>
    <s v="P290"/>
    <x v="2"/>
    <d v="2024-12-20T00:00:00"/>
    <x v="3"/>
    <s v="Check out our latest carousel on instagram!"/>
    <n v="2107"/>
    <n v="550"/>
    <n v="349"/>
    <n v="35819"/>
    <n v="35340"/>
    <n v="191"/>
    <s v="#ThirstyForMore"/>
    <s v="#ThirstyForMore"/>
    <m/>
    <m/>
    <x v="3"/>
    <n v="8.3921940869371006E-2"/>
  </r>
  <r>
    <s v="P291"/>
    <x v="3"/>
    <d v="2024-11-06T00:00:00"/>
    <x v="5"/>
    <s v="Check out our latest video on facebook!"/>
    <n v="4663"/>
    <n v="145"/>
    <n v="225"/>
    <n v="69945"/>
    <n v="69596"/>
    <n v="35"/>
    <s v="#ThirstyForMore"/>
    <s v="#ThirstyForMore"/>
    <m/>
    <m/>
    <x v="3"/>
    <n v="7.1956537279290869E-2"/>
  </r>
  <r>
    <s v="P292"/>
    <x v="3"/>
    <d v="2024-11-17T00:00:00"/>
    <x v="1"/>
    <s v="Check out our latest text on facebook!"/>
    <n v="880"/>
    <n v="297"/>
    <n v="345"/>
    <n v="12320"/>
    <n v="11978"/>
    <n v="238"/>
    <s v="#PepsiCoRefresh,#AnytimeIsPepsiTime"/>
    <s v="#PepsiCoRefresh"/>
    <s v="#AnytimeIsPepsiTime"/>
    <m/>
    <x v="4"/>
    <n v="0.12353896103896105"/>
  </r>
  <r>
    <s v="P293"/>
    <x v="3"/>
    <d v="2025-05-14T00:00:00"/>
    <x v="1"/>
    <s v="Check out our latest text on facebook!"/>
    <n v="2634"/>
    <n v="726"/>
    <n v="241"/>
    <n v="28974"/>
    <n v="28102"/>
    <n v="277"/>
    <s v="#ThirstyForMore"/>
    <s v="#ThirstyForMore"/>
    <m/>
    <m/>
    <x v="0"/>
    <n v="0.12428384068475185"/>
  </r>
  <r>
    <s v="P294"/>
    <x v="3"/>
    <d v="2024-06-19T00:00:00"/>
    <x v="3"/>
    <s v="Check out our latest carousel on facebook!"/>
    <n v="4731"/>
    <n v="173"/>
    <n v="276"/>
    <n v="28386"/>
    <n v="28185"/>
    <n v="89"/>
    <s v="#ThirstyForMore"/>
    <s v="#ThirstyForMore"/>
    <m/>
    <m/>
    <x v="2"/>
    <n v="0.18248432325794406"/>
  </r>
  <r>
    <s v="P295"/>
    <x v="0"/>
    <d v="2025-05-06T00:00:00"/>
    <x v="4"/>
    <s v="Check out our latest image on twitter!"/>
    <n v="1952"/>
    <n v="344"/>
    <n v="287"/>
    <n v="15616"/>
    <n v="15403"/>
    <n v="235"/>
    <s v="#LiveForNow,#PepsiCoRefresh,#AnytimeIsPepsiTime"/>
    <s v="#LiveForNow"/>
    <s v="#PepsiCoRefresh"/>
    <s v="#AnytimeIsPepsiTime"/>
    <x v="1"/>
    <n v="0.16540727459016394"/>
  </r>
  <r>
    <s v="P296"/>
    <x v="0"/>
    <d v="2025-02-11T00:00:00"/>
    <x v="5"/>
    <s v="Check out our latest video on twitter!"/>
    <n v="3440"/>
    <n v="13"/>
    <n v="20"/>
    <n v="58480"/>
    <n v="58146"/>
    <n v="210"/>
    <s v="#PepsiCoRefresh,#SmoothLikeNitroPepsi"/>
    <s v="#PepsiCoRefresh"/>
    <s v="#SmoothLikeNitroPepsi"/>
    <m/>
    <x v="3"/>
    <n v="5.9387824897400819E-2"/>
  </r>
  <r>
    <s v="P297"/>
    <x v="0"/>
    <d v="2024-12-24T00:00:00"/>
    <x v="1"/>
    <s v="Check out our latest text on twitter!"/>
    <n v="2166"/>
    <n v="354"/>
    <n v="117"/>
    <n v="10830"/>
    <n v="10245"/>
    <n v="24"/>
    <s v="#ThirstyForMore"/>
    <s v="#ThirstyForMore"/>
    <m/>
    <m/>
    <x v="3"/>
    <n v="0.24349030470914126"/>
  </r>
  <r>
    <s v="P298"/>
    <x v="3"/>
    <d v="2024-10-24T00:00:00"/>
    <x v="4"/>
    <s v="Check out our latest image on facebook!"/>
    <n v="4303"/>
    <n v="451"/>
    <n v="286"/>
    <n v="86060"/>
    <n v="85823"/>
    <n v="14"/>
    <s v="#PepsiCoRefresh"/>
    <s v="#PepsiCoRefresh"/>
    <m/>
    <m/>
    <x v="2"/>
    <n v="5.8563792702765516E-2"/>
  </r>
  <r>
    <s v="P299"/>
    <x v="3"/>
    <d v="2024-08-26T00:00:00"/>
    <x v="4"/>
    <s v="Check out our latest image on facebook!"/>
    <n v="2581"/>
    <n v="517"/>
    <n v="117"/>
    <n v="23229"/>
    <n v="22331"/>
    <n v="70"/>
    <s v="#LiveForNow"/>
    <s v="#LiveForNow"/>
    <m/>
    <m/>
    <x v="2"/>
    <n v="0.13840458048129492"/>
  </r>
  <r>
    <s v="P300"/>
    <x v="0"/>
    <d v="2024-08-31T00:00:00"/>
    <x v="3"/>
    <s v="Check out our latest carousel on twitter!"/>
    <n v="4494"/>
    <n v="717"/>
    <n v="45"/>
    <n v="62916"/>
    <n v="62688"/>
    <n v="191"/>
    <s v="#PepsiCoRefresh,#ThirstyForMore,#BetterWithPepsi"/>
    <s v="#PepsiCoRefresh"/>
    <s v="#ThirstyForMore"/>
    <s v="#BetterWithPepsi"/>
    <x v="0"/>
    <n v="8.3539958039290485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d v="2024-12-23T00:00:00"/>
    <x v="0"/>
    <s v="Check out our latest reel on twitter!"/>
    <n v="1461"/>
    <n v="184"/>
    <n v="344"/>
    <n v="21915"/>
    <n v="21675"/>
    <n v="15"/>
    <s v="#LiveForNow,#AnytimeIsPepsiTime"/>
    <s v="SummerSplash"/>
    <n v="9.0759753593429152E-2"/>
    <s v="Hashtag 1"/>
    <x v="0"/>
  </r>
  <r>
    <s v="P001"/>
    <x v="0"/>
    <d v="2024-12-23T00:00:00"/>
    <x v="0"/>
    <s v="Check out our latest reel on twitter!"/>
    <n v="1461"/>
    <n v="184"/>
    <n v="344"/>
    <n v="21915"/>
    <n v="21675"/>
    <n v="15"/>
    <s v="#LiveForNow,#AnytimeIsPepsiTime"/>
    <s v="SummerSplash"/>
    <n v="9.0759753593429152E-2"/>
    <s v="Hashtag 2"/>
    <x v="1"/>
  </r>
  <r>
    <s v="P002"/>
    <x v="0"/>
    <d v="2025-04-03T00:00:00"/>
    <x v="1"/>
    <s v="Check out our latest text on twitter!"/>
    <n v="4054"/>
    <n v="389"/>
    <n v="493"/>
    <n v="64864"/>
    <n v="64383"/>
    <n v="117"/>
    <s v="#PepsiCoRefresh,#BetterWithPepsi"/>
    <s v="FestiveRadiance"/>
    <n v="7.6097681302417369E-2"/>
    <s v="Hashtag 1"/>
    <x v="2"/>
  </r>
  <r>
    <s v="P002"/>
    <x v="0"/>
    <d v="2025-04-03T00:00:00"/>
    <x v="1"/>
    <s v="Check out our latest text on twitter!"/>
    <n v="4054"/>
    <n v="389"/>
    <n v="493"/>
    <n v="64864"/>
    <n v="64383"/>
    <n v="117"/>
    <s v="#PepsiCoRefresh,#BetterWithPepsi"/>
    <s v="FestiveRadiance"/>
    <n v="7.6097681302417369E-2"/>
    <s v="Hashtag 2"/>
    <x v="3"/>
  </r>
  <r>
    <s v="P003"/>
    <x v="1"/>
    <d v="2025-05-12T00:00:00"/>
    <x v="0"/>
    <s v="Check out our latest reel on youtube!"/>
    <n v="2795"/>
    <n v="105"/>
    <n v="49"/>
    <n v="53105"/>
    <n v="52307"/>
    <n v="204"/>
    <s v="#PepsiCoRefresh"/>
    <s v="NewYearRefresh"/>
    <n v="5.5531494209584788E-2"/>
    <s v="Hashtag 1"/>
    <x v="2"/>
  </r>
  <r>
    <s v="P004"/>
    <x v="2"/>
    <d v="2024-08-12T00:00:00"/>
    <x v="2"/>
    <s v="Check out our latest story on instagram!"/>
    <n v="2404"/>
    <n v="363"/>
    <n v="138"/>
    <n v="19232"/>
    <n v="18636"/>
    <n v="128"/>
    <s v="#ThirstyForMore"/>
    <s v="DailyWellness"/>
    <n v="0.15105033277870217"/>
    <s v="Hashtag 1"/>
    <x v="4"/>
  </r>
  <r>
    <s v="P005"/>
    <x v="1"/>
    <d v="2024-06-26T00:00:00"/>
    <x v="0"/>
    <s v="Check out our latest reel on youtube!"/>
    <n v="3557"/>
    <n v="687"/>
    <n v="424"/>
    <n v="71140"/>
    <n v="70701"/>
    <n v="224"/>
    <s v="#ThirstyForMore,#PepsiCoRefresh"/>
    <s v="SummerSplash"/>
    <n v="6.5617093055946027E-2"/>
    <s v="Hashtag 1"/>
    <x v="4"/>
  </r>
  <r>
    <s v="P005"/>
    <x v="1"/>
    <d v="2024-06-26T00:00:00"/>
    <x v="0"/>
    <s v="Check out our latest reel on youtube!"/>
    <n v="3557"/>
    <n v="687"/>
    <n v="424"/>
    <n v="71140"/>
    <n v="70701"/>
    <n v="224"/>
    <s v="#ThirstyForMore,#PepsiCoRefresh"/>
    <s v="SummerSplash"/>
    <n v="6.5617093055946027E-2"/>
    <s v="Hashtag 2"/>
    <x v="2"/>
  </r>
  <r>
    <s v="P006"/>
    <x v="3"/>
    <d v="2024-10-31T00:00:00"/>
    <x v="3"/>
    <s v="Check out our latest carousel on facebook!"/>
    <n v="2945"/>
    <n v="930"/>
    <n v="355"/>
    <n v="23560"/>
    <n v="23275"/>
    <n v="256"/>
    <s v="#PepsiCoRefresh"/>
    <s v="FestiveRadiance"/>
    <n v="0.17954159592529711"/>
    <s v="Hashtag 1"/>
    <x v="2"/>
  </r>
  <r>
    <s v="P007"/>
    <x v="0"/>
    <d v="2024-06-24T00:00:00"/>
    <x v="3"/>
    <s v="Check out our latest carousel on twitter!"/>
    <n v="3860"/>
    <n v="201"/>
    <n v="279"/>
    <n v="61760"/>
    <n v="61660"/>
    <n v="235"/>
    <s v="#PepsiCoRefresh"/>
    <s v="FestiveRadiance"/>
    <n v="7.0272020725388601E-2"/>
    <s v="Hashtag 1"/>
    <x v="2"/>
  </r>
  <r>
    <s v="P008"/>
    <x v="1"/>
    <d v="2024-07-13T00:00:00"/>
    <x v="4"/>
    <s v="Check out our latest image on youtube!"/>
    <n v="3929"/>
    <n v="262"/>
    <n v="278"/>
    <n v="43219"/>
    <n v="42841"/>
    <n v="39"/>
    <s v="#ThirstyForMore"/>
    <s v="DailyWellness"/>
    <n v="0.10340359564080613"/>
    <s v="Hashtag 1"/>
    <x v="4"/>
  </r>
  <r>
    <s v="P009"/>
    <x v="3"/>
    <d v="2024-08-30T00:00:00"/>
    <x v="1"/>
    <s v="Check out our latest text on facebook!"/>
    <n v="3784"/>
    <n v="808"/>
    <n v="404"/>
    <n v="56760"/>
    <n v="56343"/>
    <n v="131"/>
    <s v="#PepsiCoRefresh"/>
    <s v="FestiveRadiance"/>
    <n v="8.8019732205778717E-2"/>
    <s v="Hashtag 1"/>
    <x v="2"/>
  </r>
  <r>
    <s v="P010"/>
    <x v="3"/>
    <d v="2025-03-11T00:00:00"/>
    <x v="4"/>
    <s v="Check out our latest image on facebook!"/>
    <n v="4241"/>
    <n v="902"/>
    <n v="47"/>
    <n v="72097"/>
    <n v="71598"/>
    <n v="167"/>
    <s v="#PepsiCoRefresh"/>
    <s v="FestiveRadiance"/>
    <n v="7.198635172059864E-2"/>
    <s v="Hashtag 1"/>
    <x v="2"/>
  </r>
  <r>
    <s v="P011"/>
    <x v="2"/>
    <d v="2025-02-02T00:00:00"/>
    <x v="2"/>
    <s v="Check out our latest story on instagram!"/>
    <n v="1792"/>
    <n v="614"/>
    <n v="497"/>
    <n v="25088"/>
    <n v="24675"/>
    <n v="65"/>
    <s v="#LiveForNow"/>
    <s v="DailyWellness"/>
    <n v="0.11571269132653061"/>
    <s v="Hashtag 1"/>
    <x v="0"/>
  </r>
  <r>
    <s v="P012"/>
    <x v="3"/>
    <d v="2024-07-21T00:00:00"/>
    <x v="0"/>
    <s v="Check out our latest reel on facebook!"/>
    <n v="1946"/>
    <n v="686"/>
    <n v="377"/>
    <n v="23352"/>
    <n v="22982"/>
    <n v="213"/>
    <s v="#LiveForNow"/>
    <s v="NewYearRefresh"/>
    <n v="0.12885405960945528"/>
    <s v="Hashtag 1"/>
    <x v="0"/>
  </r>
  <r>
    <s v="P013"/>
    <x v="1"/>
    <d v="2024-11-18T00:00:00"/>
    <x v="3"/>
    <s v="Check out our latest carousel on youtube!"/>
    <n v="1171"/>
    <n v="286"/>
    <n v="231"/>
    <n v="22249"/>
    <n v="21282"/>
    <n v="114"/>
    <s v="#ThirstyForMore"/>
    <s v="SummerSplash"/>
    <n v="7.5868578363072495E-2"/>
    <s v="Hashtag 1"/>
    <x v="4"/>
  </r>
  <r>
    <s v="P014"/>
    <x v="3"/>
    <d v="2025-02-16T00:00:00"/>
    <x v="2"/>
    <s v="Check out our latest story on facebook!"/>
    <n v="4242"/>
    <n v="555"/>
    <n v="131"/>
    <n v="33936"/>
    <n v="33802"/>
    <n v="265"/>
    <s v="#LiveForNow"/>
    <s v="Unassigned"/>
    <n v="0.14521452145214522"/>
    <s v="Hashtag 1"/>
    <x v="0"/>
  </r>
  <r>
    <s v="P015"/>
    <x v="3"/>
    <d v="2024-10-24T00:00:00"/>
    <x v="5"/>
    <s v="Check out our latest video on facebook!"/>
    <n v="3888"/>
    <n v="604"/>
    <n v="128"/>
    <n v="77760"/>
    <n v="77167"/>
    <n v="20"/>
    <s v="#LiveForNow"/>
    <s v="SummerSplash"/>
    <n v="5.941358024691358E-2"/>
    <s v="Hashtag 1"/>
    <x v="0"/>
  </r>
  <r>
    <s v="P016"/>
    <x v="3"/>
    <d v="2024-08-26T00:00:00"/>
    <x v="1"/>
    <s v="Check out our latest text on facebook!"/>
    <n v="3452"/>
    <n v="377"/>
    <n v="360"/>
    <n v="55232"/>
    <n v="55075"/>
    <n v="87"/>
    <s v="#LiveForNow"/>
    <s v="NewYearRefresh"/>
    <n v="7.5843713789107758E-2"/>
    <s v="Hashtag 1"/>
    <x v="0"/>
  </r>
  <r>
    <s v="P017"/>
    <x v="3"/>
    <d v="2025-05-05T00:00:00"/>
    <x v="1"/>
    <s v="Check out our latest text on facebook!"/>
    <n v="4441"/>
    <n v="511"/>
    <n v="70"/>
    <n v="53292"/>
    <n v="53082"/>
    <n v="159"/>
    <s v="#ThirstyForMore"/>
    <s v="DailyWellness"/>
    <n v="9.4235532537716729E-2"/>
    <s v="Hashtag 1"/>
    <x v="4"/>
  </r>
  <r>
    <s v="P018"/>
    <x v="2"/>
    <d v="2024-08-19T00:00:00"/>
    <x v="0"/>
    <s v="Check out our latest reel on instagram!"/>
    <n v="3000"/>
    <n v="382"/>
    <n v="325"/>
    <n v="36000"/>
    <n v="35819"/>
    <n v="19"/>
    <s v="#LiveForNow"/>
    <s v="SummerSplash"/>
    <n v="0.10297222222222223"/>
    <s v="Hashtag 1"/>
    <x v="0"/>
  </r>
  <r>
    <s v="P019"/>
    <x v="2"/>
    <d v="2024-06-23T00:00:00"/>
    <x v="5"/>
    <s v="Check out our latest video on instagram!"/>
    <n v="1071"/>
    <n v="519"/>
    <n v="22"/>
    <n v="16065"/>
    <n v="15865"/>
    <n v="103"/>
    <s v="#PepsiCoRefresh"/>
    <s v="DailyWellness"/>
    <n v="0.10034235916588857"/>
    <s v="Hashtag 1"/>
    <x v="2"/>
  </r>
  <r>
    <s v="P020"/>
    <x v="2"/>
    <d v="2024-09-09T00:00:00"/>
    <x v="3"/>
    <s v="Check out our latest carousel on instagram!"/>
    <n v="4054"/>
    <n v="488"/>
    <n v="373"/>
    <n v="77026"/>
    <n v="76881"/>
    <n v="25"/>
    <s v="#PepsiCoRefresh"/>
    <s v="SummerSplash"/>
    <n v="6.3809622724794221E-2"/>
    <s v="Hashtag 1"/>
    <x v="2"/>
  </r>
  <r>
    <s v="P021"/>
    <x v="2"/>
    <d v="2025-01-04T00:00:00"/>
    <x v="0"/>
    <s v="Check out our latest reel on instagram!"/>
    <n v="4838"/>
    <n v="640"/>
    <n v="128"/>
    <n v="72570"/>
    <n v="72396"/>
    <n v="83"/>
    <s v="#LiveForNow"/>
    <s v="DailyWellness"/>
    <n v="7.7249552156538517E-2"/>
    <s v="Hashtag 1"/>
    <x v="0"/>
  </r>
  <r>
    <s v="P022"/>
    <x v="3"/>
    <d v="2025-02-27T00:00:00"/>
    <x v="1"/>
    <s v="Check out our latest text on facebook!"/>
    <n v="1570"/>
    <n v="187"/>
    <n v="260"/>
    <n v="25120"/>
    <n v="24613"/>
    <n v="133"/>
    <s v="#PepsiCoRefresh"/>
    <s v="DailyWellness"/>
    <n v="8.0294585987261149E-2"/>
    <s v="Hashtag 1"/>
    <x v="2"/>
  </r>
  <r>
    <s v="P023"/>
    <x v="3"/>
    <d v="2024-11-06T00:00:00"/>
    <x v="5"/>
    <s v="Check out our latest video on facebook!"/>
    <n v="1606"/>
    <n v="547"/>
    <n v="316"/>
    <n v="32120"/>
    <n v="31736"/>
    <n v="225"/>
    <s v="#PepsiCoRefresh,#AnytimeIsPepsiTime"/>
    <s v="FestiveRadiance"/>
    <n v="7.6867995018679955E-2"/>
    <s v="Hashtag 1"/>
    <x v="2"/>
  </r>
  <r>
    <s v="P023"/>
    <x v="3"/>
    <d v="2024-11-06T00:00:00"/>
    <x v="5"/>
    <s v="Check out our latest video on facebook!"/>
    <n v="1606"/>
    <n v="547"/>
    <n v="316"/>
    <n v="32120"/>
    <n v="31736"/>
    <n v="225"/>
    <s v="#PepsiCoRefresh,#AnytimeIsPepsiTime"/>
    <s v="FestiveRadiance"/>
    <n v="7.6867995018679955E-2"/>
    <s v="Hashtag 2"/>
    <x v="1"/>
  </r>
  <r>
    <s v="P024"/>
    <x v="3"/>
    <d v="2025-01-23T00:00:00"/>
    <x v="5"/>
    <s v="Check out our latest video on facebook!"/>
    <n v="3961"/>
    <n v="761"/>
    <n v="131"/>
    <n v="67337"/>
    <n v="66615"/>
    <n v="161"/>
    <s v="#LiveForNow"/>
    <s v="NewYearRefresh"/>
    <n v="7.2070332803659209E-2"/>
    <s v="Hashtag 1"/>
    <x v="0"/>
  </r>
  <r>
    <s v="P025"/>
    <x v="0"/>
    <d v="2025-04-10T00:00:00"/>
    <x v="3"/>
    <s v="Check out our latest carousel on twitter!"/>
    <n v="3128"/>
    <n v="211"/>
    <n v="197"/>
    <n v="59432"/>
    <n v="59182"/>
    <n v="238"/>
    <s v="#ThirstyForMore"/>
    <s v="Unassigned"/>
    <n v="5.9496567505720827E-2"/>
    <s v="Hashtag 1"/>
    <x v="4"/>
  </r>
  <r>
    <s v="P026"/>
    <x v="1"/>
    <d v="2025-04-05T00:00:00"/>
    <x v="0"/>
    <s v="Check out our latest reel on youtube!"/>
    <n v="3009"/>
    <n v="413"/>
    <n v="358"/>
    <n v="42126"/>
    <n v="41309"/>
    <n v="211"/>
    <s v="#LiveForNow"/>
    <s v="FestiveRadiance"/>
    <n v="8.9730807577268201E-2"/>
    <s v="Hashtag 1"/>
    <x v="0"/>
  </r>
  <r>
    <s v="P027"/>
    <x v="1"/>
    <d v="2024-09-17T00:00:00"/>
    <x v="1"/>
    <s v="Check out our latest text on youtube!"/>
    <n v="2076"/>
    <n v="195"/>
    <n v="104"/>
    <n v="33216"/>
    <n v="32244"/>
    <n v="51"/>
    <s v="#LiveForNow"/>
    <s v="DailyWellness"/>
    <n v="7.1501685934489398E-2"/>
    <s v="Hashtag 1"/>
    <x v="0"/>
  </r>
  <r>
    <s v="P028"/>
    <x v="2"/>
    <d v="2025-03-04T00:00:00"/>
    <x v="5"/>
    <s v="Check out our latest video on instagram!"/>
    <n v="432"/>
    <n v="624"/>
    <n v="123"/>
    <n v="6912"/>
    <n v="6259"/>
    <n v="79"/>
    <s v="#LiveForNow"/>
    <s v="DailyWellness"/>
    <n v="0.17057291666666666"/>
    <s v="Hashtag 1"/>
    <x v="0"/>
  </r>
  <r>
    <s v="P029"/>
    <x v="2"/>
    <d v="2025-01-31T00:00:00"/>
    <x v="3"/>
    <s v="Check out our latest carousel on instagram!"/>
    <n v="2566"/>
    <n v="118"/>
    <n v="37"/>
    <n v="12830"/>
    <n v="12264"/>
    <n v="221"/>
    <s v="#LiveForNow"/>
    <s v="NewYearRefresh"/>
    <n v="0.21208106001558846"/>
    <s v="Hashtag 1"/>
    <x v="0"/>
  </r>
  <r>
    <s v="P030"/>
    <x v="2"/>
    <d v="2025-02-25T00:00:00"/>
    <x v="5"/>
    <s v="Check out our latest video on instagram!"/>
    <n v="3095"/>
    <n v="39"/>
    <n v="78"/>
    <n v="55710"/>
    <n v="54808"/>
    <n v="93"/>
    <s v="#ThirstyForMore"/>
    <s v="Unassigned"/>
    <n v="5.7655717106444085E-2"/>
    <s v="Hashtag 1"/>
    <x v="4"/>
  </r>
  <r>
    <s v="P031"/>
    <x v="2"/>
    <d v="2024-12-16T00:00:00"/>
    <x v="1"/>
    <s v="Check out our latest text on instagram!"/>
    <n v="438"/>
    <n v="153"/>
    <n v="275"/>
    <n v="3066"/>
    <n v="2701"/>
    <n v="282"/>
    <s v="#PepsiCoRefresh"/>
    <s v="FestiveRadiance"/>
    <n v="0.28245270711024134"/>
    <s v="Hashtag 1"/>
    <x v="2"/>
  </r>
  <r>
    <s v="P032"/>
    <x v="0"/>
    <d v="2024-07-31T00:00:00"/>
    <x v="3"/>
    <s v="Check out our latest carousel on twitter!"/>
    <n v="2278"/>
    <n v="10"/>
    <n v="321"/>
    <n v="13668"/>
    <n v="12676"/>
    <n v="275"/>
    <s v="#ThirstyForMore"/>
    <s v="SummerSplash"/>
    <n v="0.19088381621305239"/>
    <s v="Hashtag 1"/>
    <x v="4"/>
  </r>
  <r>
    <s v="P033"/>
    <x v="3"/>
    <d v="2024-08-21T00:00:00"/>
    <x v="4"/>
    <s v="Check out our latest image on facebook!"/>
    <n v="1407"/>
    <n v="400"/>
    <n v="351"/>
    <n v="16884"/>
    <n v="15954"/>
    <n v="113"/>
    <s v="#PepsiCoRefresh"/>
    <s v="SummerSplash"/>
    <n v="0.12781331438047855"/>
    <s v="Hashtag 1"/>
    <x v="2"/>
  </r>
  <r>
    <s v="P034"/>
    <x v="3"/>
    <d v="2025-03-26T00:00:00"/>
    <x v="1"/>
    <s v="Check out our latest text on facebook!"/>
    <n v="1652"/>
    <n v="89"/>
    <n v="357"/>
    <n v="29736"/>
    <n v="28771"/>
    <n v="215"/>
    <s v="#PepsiCoRefresh"/>
    <s v="NewYearRefresh"/>
    <n v="7.055421038471886E-2"/>
    <s v="Hashtag 1"/>
    <x v="2"/>
  </r>
  <r>
    <s v="P035"/>
    <x v="2"/>
    <d v="2024-11-30T00:00:00"/>
    <x v="5"/>
    <s v="Check out our latest video on instagram!"/>
    <n v="3775"/>
    <n v="16"/>
    <n v="239"/>
    <n v="33975"/>
    <n v="33310"/>
    <n v="271"/>
    <s v="#LiveForNow"/>
    <s v="FestiveRadiance"/>
    <n v="0.11861662987490802"/>
    <s v="Hashtag 1"/>
    <x v="0"/>
  </r>
  <r>
    <s v="P036"/>
    <x v="2"/>
    <d v="2025-04-19T00:00:00"/>
    <x v="2"/>
    <s v="Check out our latest story on instagram!"/>
    <n v="4518"/>
    <n v="285"/>
    <n v="383"/>
    <n v="67770"/>
    <n v="67621"/>
    <n v="31"/>
    <s v="#ThirstyForMore"/>
    <s v="FestiveRadiance"/>
    <n v="7.6523535487678915E-2"/>
    <s v="Hashtag 1"/>
    <x v="4"/>
  </r>
  <r>
    <s v="P037"/>
    <x v="3"/>
    <d v="2025-01-06T00:00:00"/>
    <x v="3"/>
    <s v="Check out our latest carousel on facebook!"/>
    <n v="3024"/>
    <n v="925"/>
    <n v="350"/>
    <n v="24192"/>
    <n v="23518"/>
    <n v="36"/>
    <s v="#ThirstyForMore"/>
    <s v="FestiveRadiance"/>
    <n v="0.17770337301587302"/>
    <s v="Hashtag 1"/>
    <x v="4"/>
  </r>
  <r>
    <s v="P038"/>
    <x v="1"/>
    <d v="2025-02-17T00:00:00"/>
    <x v="0"/>
    <s v="Check out our latest reel on youtube!"/>
    <n v="3138"/>
    <n v="123"/>
    <n v="291"/>
    <n v="28242"/>
    <n v="27550"/>
    <n v="87"/>
    <s v="#PepsiCoRefresh"/>
    <s v="DailyWellness"/>
    <n v="0.12577012959422137"/>
    <s v="Hashtag 1"/>
    <x v="2"/>
  </r>
  <r>
    <s v="P039"/>
    <x v="3"/>
    <d v="2024-11-25T00:00:00"/>
    <x v="4"/>
    <s v="Check out our latest image on facebook!"/>
    <n v="3564"/>
    <n v="629"/>
    <n v="177"/>
    <n v="60588"/>
    <n v="59627"/>
    <n v="92"/>
    <s v="#PepsiCoRefresh"/>
    <s v="Unassigned"/>
    <n v="7.2126493695121141E-2"/>
    <s v="Hashtag 1"/>
    <x v="2"/>
  </r>
  <r>
    <s v="P040"/>
    <x v="0"/>
    <d v="2025-03-07T00:00:00"/>
    <x v="4"/>
    <s v="Check out our latest image on twitter!"/>
    <n v="4750"/>
    <n v="151"/>
    <n v="415"/>
    <n v="38000"/>
    <n v="37792"/>
    <n v="299"/>
    <s v="#ThirstyForMore"/>
    <s v="DailyWellness"/>
    <n v="0.13989473684210527"/>
    <s v="Hashtag 1"/>
    <x v="4"/>
  </r>
  <r>
    <s v="P041"/>
    <x v="2"/>
    <d v="2025-03-08T00:00:00"/>
    <x v="0"/>
    <s v="Check out our latest reel on instagram!"/>
    <n v="456"/>
    <n v="629"/>
    <n v="428"/>
    <n v="8208"/>
    <n v="7377"/>
    <n v="205"/>
    <s v="#LiveForNow"/>
    <s v="DailyWellness"/>
    <n v="0.18433235867446393"/>
    <s v="Hashtag 1"/>
    <x v="0"/>
  </r>
  <r>
    <s v="P042"/>
    <x v="1"/>
    <d v="2025-03-05T00:00:00"/>
    <x v="0"/>
    <s v="Check out our latest reel on youtube!"/>
    <n v="1543"/>
    <n v="820"/>
    <n v="333"/>
    <n v="12344"/>
    <n v="11496"/>
    <n v="241"/>
    <s v="#ThirstyForMore"/>
    <s v="Unassigned"/>
    <n v="0.21840570317563188"/>
    <s v="Hashtag 1"/>
    <x v="4"/>
  </r>
  <r>
    <s v="P043"/>
    <x v="2"/>
    <d v="2024-12-14T00:00:00"/>
    <x v="3"/>
    <s v="Check out our latest carousel on instagram!"/>
    <n v="2174"/>
    <n v="658"/>
    <n v="15"/>
    <n v="13044"/>
    <n v="12206"/>
    <n v="137"/>
    <s v="#PepsiCoRefresh"/>
    <s v="NewYearRefresh"/>
    <n v="0.21826126954921804"/>
    <s v="Hashtag 1"/>
    <x v="2"/>
  </r>
  <r>
    <s v="P044"/>
    <x v="0"/>
    <d v="2025-03-02T00:00:00"/>
    <x v="4"/>
    <s v="Check out our latest image on twitter!"/>
    <n v="2358"/>
    <n v="784"/>
    <n v="344"/>
    <n v="35370"/>
    <n v="34475"/>
    <n v="216"/>
    <s v="#PepsiCoRefresh"/>
    <s v="Unassigned"/>
    <n v="9.8558100084817649E-2"/>
    <s v="Hashtag 1"/>
    <x v="2"/>
  </r>
  <r>
    <s v="P045"/>
    <x v="3"/>
    <d v="2024-11-01T00:00:00"/>
    <x v="5"/>
    <s v="Check out our latest video on facebook!"/>
    <n v="3371"/>
    <n v="106"/>
    <n v="327"/>
    <n v="50565"/>
    <n v="49816"/>
    <n v="176"/>
    <s v="#LiveForNow"/>
    <s v="SummerSplash"/>
    <n v="7.5229902106199939E-2"/>
    <s v="Hashtag 1"/>
    <x v="0"/>
  </r>
  <r>
    <s v="P046"/>
    <x v="0"/>
    <d v="2025-05-02T00:00:00"/>
    <x v="5"/>
    <s v="Check out our latest video on twitter!"/>
    <n v="1108"/>
    <n v="177"/>
    <n v="212"/>
    <n v="8864"/>
    <n v="8710"/>
    <n v="97"/>
    <s v="#PepsiCoRefresh"/>
    <s v="DailyWellness"/>
    <n v="0.16888537906137185"/>
    <s v="Hashtag 1"/>
    <x v="2"/>
  </r>
  <r>
    <s v="P047"/>
    <x v="0"/>
    <d v="2025-02-24T00:00:00"/>
    <x v="3"/>
    <s v="Check out our latest carousel on twitter!"/>
    <n v="2704"/>
    <n v="752"/>
    <n v="153"/>
    <n v="21632"/>
    <n v="20792"/>
    <n v="127"/>
    <s v="#LiveForNow"/>
    <s v="Unassigned"/>
    <n v="0.16683616863905326"/>
    <s v="Hashtag 1"/>
    <x v="0"/>
  </r>
  <r>
    <s v="P048"/>
    <x v="0"/>
    <d v="2025-03-11T00:00:00"/>
    <x v="2"/>
    <s v="Check out our latest story on twitter!"/>
    <n v="1950"/>
    <n v="295"/>
    <n v="478"/>
    <n v="37050"/>
    <n v="36272"/>
    <n v="119"/>
    <s v="#PepsiCoRefresh"/>
    <s v="Unassigned"/>
    <n v="7.349527665317139E-2"/>
    <s v="Hashtag 1"/>
    <x v="2"/>
  </r>
  <r>
    <s v="P049"/>
    <x v="0"/>
    <d v="2024-06-10T00:00:00"/>
    <x v="2"/>
    <s v="Check out our latest story on twitter!"/>
    <n v="2164"/>
    <n v="549"/>
    <n v="274"/>
    <n v="28132"/>
    <n v="27361"/>
    <n v="177"/>
    <s v="#PepsiCoRefresh"/>
    <s v="DailyWellness"/>
    <n v="0.10617801791554102"/>
    <s v="Hashtag 1"/>
    <x v="2"/>
  </r>
  <r>
    <s v="P050"/>
    <x v="1"/>
    <d v="2024-07-03T00:00:00"/>
    <x v="2"/>
    <s v="Check out our latest story on youtube!"/>
    <n v="2754"/>
    <n v="130"/>
    <n v="90"/>
    <n v="22032"/>
    <n v="21288"/>
    <n v="112"/>
    <s v="#PepsiCoRefresh"/>
    <s v="NewYearRefresh"/>
    <n v="0.13498547567175018"/>
    <s v="Hashtag 1"/>
    <x v="2"/>
  </r>
  <r>
    <s v="P051"/>
    <x v="3"/>
    <d v="2024-06-13T00:00:00"/>
    <x v="3"/>
    <s v="Check out our latest carousel on facebook!"/>
    <n v="2200"/>
    <n v="504"/>
    <n v="239"/>
    <n v="37400"/>
    <n v="36938"/>
    <n v="225"/>
    <s v="#LiveForNow"/>
    <s v="FestiveRadiance"/>
    <n v="7.8689839572192513E-2"/>
    <s v="Hashtag 1"/>
    <x v="0"/>
  </r>
  <r>
    <s v="P052"/>
    <x v="3"/>
    <d v="2025-01-03T00:00:00"/>
    <x v="4"/>
    <s v="Check out our latest image on facebook!"/>
    <n v="947"/>
    <n v="338"/>
    <n v="350"/>
    <n v="10417"/>
    <n v="9730"/>
    <n v="34"/>
    <s v="#PepsiCoRefresh"/>
    <s v="DailyWellness"/>
    <n v="0.1569549774407219"/>
    <s v="Hashtag 1"/>
    <x v="2"/>
  </r>
  <r>
    <s v="P053"/>
    <x v="1"/>
    <d v="2025-02-24T00:00:00"/>
    <x v="3"/>
    <s v="Check out our latest carousel on youtube!"/>
    <n v="804"/>
    <n v="639"/>
    <n v="43"/>
    <n v="4020"/>
    <n v="3144"/>
    <n v="11"/>
    <s v="#ThirstyForMore,#BetterWithPepsi"/>
    <s v="Unassigned"/>
    <n v="0.36965174129353234"/>
    <s v="Hashtag 1"/>
    <x v="4"/>
  </r>
  <r>
    <s v="P053"/>
    <x v="1"/>
    <d v="2025-02-24T00:00:00"/>
    <x v="3"/>
    <s v="Check out our latest carousel on youtube!"/>
    <n v="804"/>
    <n v="639"/>
    <n v="43"/>
    <n v="4020"/>
    <n v="3144"/>
    <n v="11"/>
    <s v="#ThirstyForMore,#BetterWithPepsi"/>
    <s v="Unassigned"/>
    <n v="0.36965174129353234"/>
    <s v="Hashtag 2"/>
    <x v="3"/>
  </r>
  <r>
    <s v="P054"/>
    <x v="1"/>
    <d v="2025-03-13T00:00:00"/>
    <x v="3"/>
    <s v="Check out our latest carousel on youtube!"/>
    <n v="1686"/>
    <n v="904"/>
    <n v="472"/>
    <n v="18546"/>
    <n v="18171"/>
    <n v="52"/>
    <s v="#LiveForNow"/>
    <s v="FestiveRadiance"/>
    <n v="0.16510298716704411"/>
    <s v="Hashtag 1"/>
    <x v="0"/>
  </r>
  <r>
    <s v="P055"/>
    <x v="3"/>
    <d v="2024-06-17T00:00:00"/>
    <x v="4"/>
    <s v="Check out our latest image on facebook!"/>
    <n v="1226"/>
    <n v="119"/>
    <n v="7"/>
    <n v="14712"/>
    <n v="14049"/>
    <n v="123"/>
    <s v="#ThirstyForMore"/>
    <s v="DailyWellness"/>
    <n v="9.1897770527460579E-2"/>
    <s v="Hashtag 1"/>
    <x v="4"/>
  </r>
  <r>
    <s v="P056"/>
    <x v="3"/>
    <d v="2024-12-18T00:00:00"/>
    <x v="3"/>
    <s v="Check out our latest carousel on facebook!"/>
    <n v="2946"/>
    <n v="498"/>
    <n v="367"/>
    <n v="29460"/>
    <n v="28527"/>
    <n v="60"/>
    <s v="#LiveForNow"/>
    <s v="NewYearRefresh"/>
    <n v="0.12936184657162253"/>
    <s v="Hashtag 1"/>
    <x v="0"/>
  </r>
  <r>
    <s v="P057"/>
    <x v="0"/>
    <d v="2024-10-21T00:00:00"/>
    <x v="5"/>
    <s v="Check out our latest video on twitter!"/>
    <n v="2825"/>
    <n v="535"/>
    <n v="295"/>
    <n v="45200"/>
    <n v="44739"/>
    <n v="169"/>
    <s v="#PepsiCoRefresh"/>
    <s v="SummerSplash"/>
    <n v="8.0862831858407078E-2"/>
    <s v="Hashtag 1"/>
    <x v="2"/>
  </r>
  <r>
    <s v="P058"/>
    <x v="2"/>
    <d v="2025-04-15T00:00:00"/>
    <x v="0"/>
    <s v="Check out our latest reel on instagram!"/>
    <n v="103"/>
    <n v="770"/>
    <n v="19"/>
    <n v="1030"/>
    <n v="410"/>
    <n v="262"/>
    <s v="#PepsiCoRefresh"/>
    <s v="DailyWellness"/>
    <n v="0.86601941747572819"/>
    <s v="Hashtag 1"/>
    <x v="2"/>
  </r>
  <r>
    <s v="P059"/>
    <x v="2"/>
    <d v="2024-06-22T00:00:00"/>
    <x v="1"/>
    <s v="Check out our latest text on instagram!"/>
    <n v="2180"/>
    <n v="263"/>
    <n v="387"/>
    <n v="30520"/>
    <n v="30059"/>
    <n v="174"/>
    <s v="#ThirstyForMore"/>
    <s v="Unassigned"/>
    <n v="9.2726081258191345E-2"/>
    <s v="Hashtag 1"/>
    <x v="4"/>
  </r>
  <r>
    <s v="P060"/>
    <x v="2"/>
    <d v="2025-01-28T00:00:00"/>
    <x v="5"/>
    <s v="Check out our latest video on instagram!"/>
    <n v="904"/>
    <n v="973"/>
    <n v="63"/>
    <n v="11752"/>
    <n v="11580"/>
    <n v="84"/>
    <s v="#ThirstyForMore,#PepsiCoRefresh,#AnytimeIsPepsiTime"/>
    <s v="NewYearRefresh"/>
    <n v="0.1650782845473111"/>
    <s v="Hashtag 1"/>
    <x v="4"/>
  </r>
  <r>
    <s v="P060"/>
    <x v="2"/>
    <d v="2025-01-28T00:00:00"/>
    <x v="5"/>
    <s v="Check out our latest video on instagram!"/>
    <n v="904"/>
    <n v="973"/>
    <n v="63"/>
    <n v="11752"/>
    <n v="11580"/>
    <n v="84"/>
    <s v="#ThirstyForMore,#PepsiCoRefresh,#AnytimeIsPepsiTime"/>
    <s v="NewYearRefresh"/>
    <n v="0.1650782845473111"/>
    <s v="Hashtag 2"/>
    <x v="2"/>
  </r>
  <r>
    <s v="P060"/>
    <x v="2"/>
    <d v="2025-01-28T00:00:00"/>
    <x v="5"/>
    <s v="Check out our latest video on instagram!"/>
    <n v="904"/>
    <n v="973"/>
    <n v="63"/>
    <n v="11752"/>
    <n v="11580"/>
    <n v="84"/>
    <s v="#ThirstyForMore,#PepsiCoRefresh,#AnytimeIsPepsiTime"/>
    <s v="NewYearRefresh"/>
    <n v="0.1650782845473111"/>
    <s v="Hashtag 3"/>
    <x v="1"/>
  </r>
  <r>
    <s v="P061"/>
    <x v="0"/>
    <d v="2024-09-05T00:00:00"/>
    <x v="5"/>
    <s v="Check out our latest video on twitter!"/>
    <n v="4886"/>
    <n v="983"/>
    <n v="409"/>
    <n v="43974"/>
    <n v="43239"/>
    <n v="65"/>
    <s v="#PepsiCoRefresh"/>
    <s v="SummerSplash"/>
    <n v="0.14276618001546368"/>
    <s v="Hashtag 1"/>
    <x v="2"/>
  </r>
  <r>
    <s v="P062"/>
    <x v="0"/>
    <d v="2024-11-22T00:00:00"/>
    <x v="3"/>
    <s v="Check out our latest carousel on twitter!"/>
    <n v="53"/>
    <n v="81"/>
    <n v="379"/>
    <n v="954"/>
    <n v="7"/>
    <n v="148"/>
    <s v="#PepsiCoRefresh"/>
    <s v="NewYearRefresh"/>
    <n v="0.53773584905660377"/>
    <s v="Hashtag 1"/>
    <x v="2"/>
  </r>
  <r>
    <s v="P063"/>
    <x v="0"/>
    <d v="2024-07-31T00:00:00"/>
    <x v="3"/>
    <s v="Check out our latest carousel on twitter!"/>
    <n v="4507"/>
    <n v="217"/>
    <n v="13"/>
    <n v="90140"/>
    <n v="89591"/>
    <n v="125"/>
    <s v="#LiveForNow"/>
    <s v="NewYearRefresh"/>
    <n v="5.2551586421122697E-2"/>
    <s v="Hashtag 1"/>
    <x v="0"/>
  </r>
  <r>
    <s v="P064"/>
    <x v="3"/>
    <d v="2024-08-17T00:00:00"/>
    <x v="4"/>
    <s v="Check out our latest image on facebook!"/>
    <n v="2878"/>
    <n v="248"/>
    <n v="416"/>
    <n v="43170"/>
    <n v="42667"/>
    <n v="75"/>
    <s v="#LiveForNow"/>
    <s v="NewYearRefresh"/>
    <n v="8.2047718322909427E-2"/>
    <s v="Hashtag 1"/>
    <x v="0"/>
  </r>
  <r>
    <s v="P065"/>
    <x v="2"/>
    <d v="2025-03-28T00:00:00"/>
    <x v="2"/>
    <s v="Check out our latest story on instagram!"/>
    <n v="1881"/>
    <n v="501"/>
    <n v="99"/>
    <n v="20691"/>
    <n v="19987"/>
    <n v="289"/>
    <s v="#ThirstyForMore"/>
    <s v="Unassigned"/>
    <n v="0.11990720603160794"/>
    <s v="Hashtag 1"/>
    <x v="4"/>
  </r>
  <r>
    <s v="P066"/>
    <x v="0"/>
    <d v="2024-07-26T00:00:00"/>
    <x v="3"/>
    <s v="Check out our latest carousel on twitter!"/>
    <n v="432"/>
    <n v="171"/>
    <n v="280"/>
    <n v="3024"/>
    <n v="2285"/>
    <n v="184"/>
    <s v="#ThirstyForMore"/>
    <s v="SummerSplash"/>
    <n v="0.29199735449735448"/>
    <s v="Hashtag 1"/>
    <x v="4"/>
  </r>
  <r>
    <s v="P067"/>
    <x v="3"/>
    <d v="2025-03-29T00:00:00"/>
    <x v="3"/>
    <s v="Check out our latest carousel on facebook!"/>
    <n v="4712"/>
    <n v="568"/>
    <n v="127"/>
    <n v="84816"/>
    <n v="84691"/>
    <n v="100"/>
    <s v="#ThirstyForMore"/>
    <s v="NewYearRefresh"/>
    <n v="6.3749764195434822E-2"/>
    <s v="Hashtag 1"/>
    <x v="4"/>
  </r>
  <r>
    <s v="P068"/>
    <x v="2"/>
    <d v="2024-12-08T00:00:00"/>
    <x v="2"/>
    <s v="Check out our latest story on instagram!"/>
    <n v="2610"/>
    <n v="126"/>
    <n v="288"/>
    <n v="15660"/>
    <n v="15145"/>
    <n v="73"/>
    <s v="#ThirstyForMore"/>
    <s v="Unassigned"/>
    <n v="0.19310344827586207"/>
    <s v="Hashtag 1"/>
    <x v="4"/>
  </r>
  <r>
    <s v="P069"/>
    <x v="0"/>
    <d v="2025-03-08T00:00:00"/>
    <x v="1"/>
    <s v="Check out our latest text on twitter!"/>
    <n v="1292"/>
    <n v="626"/>
    <n v="496"/>
    <n v="25840"/>
    <n v="24916"/>
    <n v="149"/>
    <s v="#LiveForNow"/>
    <s v="NewYearRefresh"/>
    <n v="9.3421052631578946E-2"/>
    <s v="Hashtag 1"/>
    <x v="0"/>
  </r>
  <r>
    <s v="P070"/>
    <x v="3"/>
    <d v="2025-04-02T00:00:00"/>
    <x v="5"/>
    <s v="Check out our latest video on facebook!"/>
    <n v="199"/>
    <n v="772"/>
    <n v="400"/>
    <n v="3582"/>
    <n v="2988"/>
    <n v="43"/>
    <s v="#PepsiCoRefresh"/>
    <s v="Unassigned"/>
    <n v="0.38274706867671693"/>
    <s v="Hashtag 1"/>
    <x v="2"/>
  </r>
  <r>
    <s v="P071"/>
    <x v="1"/>
    <d v="2024-09-02T00:00:00"/>
    <x v="3"/>
    <s v="Check out our latest carousel on youtube!"/>
    <n v="2551"/>
    <n v="915"/>
    <n v="205"/>
    <n v="30612"/>
    <n v="30360"/>
    <n v="227"/>
    <s v="#PepsiCoRefresh"/>
    <s v="FestiveRadiance"/>
    <n v="0.1199202926956749"/>
    <s v="Hashtag 1"/>
    <x v="2"/>
  </r>
  <r>
    <s v="P072"/>
    <x v="1"/>
    <d v="2025-03-03T00:00:00"/>
    <x v="0"/>
    <s v="Check out our latest reel on youtube!"/>
    <n v="296"/>
    <n v="60"/>
    <n v="141"/>
    <n v="5624"/>
    <n v="5239"/>
    <n v="88"/>
    <s v="#ThirstyForMore"/>
    <s v="FestiveRadiance"/>
    <n v="8.837126600284495E-2"/>
    <s v="Hashtag 1"/>
    <x v="4"/>
  </r>
  <r>
    <s v="P073"/>
    <x v="3"/>
    <d v="2024-10-18T00:00:00"/>
    <x v="2"/>
    <s v="Check out our latest story on facebook!"/>
    <n v="4126"/>
    <n v="426"/>
    <n v="486"/>
    <n v="78394"/>
    <n v="77798"/>
    <n v="88"/>
    <s v="#LiveForNow"/>
    <s v="DailyWellness"/>
    <n v="6.4265122330790625E-2"/>
    <s v="Hashtag 1"/>
    <x v="0"/>
  </r>
  <r>
    <s v="P074"/>
    <x v="1"/>
    <d v="2024-10-28T00:00:00"/>
    <x v="0"/>
    <s v="Check out our latest reel on youtube!"/>
    <n v="1855"/>
    <n v="200"/>
    <n v="174"/>
    <n v="16695"/>
    <n v="16330"/>
    <n v="123"/>
    <s v="#PepsiCoRefresh"/>
    <s v="NewYearRefresh"/>
    <n v="0.13351302785265048"/>
    <s v="Hashtag 1"/>
    <x v="2"/>
  </r>
  <r>
    <s v="P075"/>
    <x v="2"/>
    <d v="2024-08-01T00:00:00"/>
    <x v="0"/>
    <s v="Check out our latest reel on instagram!"/>
    <n v="1674"/>
    <n v="929"/>
    <n v="37"/>
    <n v="21762"/>
    <n v="20998"/>
    <n v="255"/>
    <s v="#PepsiCoRefresh"/>
    <s v="DailyWellness"/>
    <n v="0.12131237937689551"/>
    <s v="Hashtag 1"/>
    <x v="2"/>
  </r>
  <r>
    <s v="P076"/>
    <x v="0"/>
    <d v="2024-11-07T00:00:00"/>
    <x v="2"/>
    <s v="Check out our latest story on twitter!"/>
    <n v="1121"/>
    <n v="135"/>
    <n v="18"/>
    <n v="15694"/>
    <n v="14957"/>
    <n v="99"/>
    <s v="#PepsiCoRefresh"/>
    <s v="DailyWellness"/>
    <n v="8.1177520071364848E-2"/>
    <s v="Hashtag 1"/>
    <x v="2"/>
  </r>
  <r>
    <s v="P077"/>
    <x v="3"/>
    <d v="2025-03-04T00:00:00"/>
    <x v="2"/>
    <s v="Check out our latest story on facebook!"/>
    <n v="1249"/>
    <n v="116"/>
    <n v="420"/>
    <n v="8743"/>
    <n v="8538"/>
    <n v="63"/>
    <s v="#PepsiCoRefresh"/>
    <s v="Unassigned"/>
    <n v="0.20416333066453163"/>
    <s v="Hashtag 1"/>
    <x v="2"/>
  </r>
  <r>
    <s v="P078"/>
    <x v="0"/>
    <d v="2024-06-17T00:00:00"/>
    <x v="4"/>
    <s v="Check out our latest image on twitter!"/>
    <n v="954"/>
    <n v="324"/>
    <n v="288"/>
    <n v="19080"/>
    <n v="18859"/>
    <n v="21"/>
    <s v="#LiveForNow"/>
    <s v="DailyWellness"/>
    <n v="8.2075471698113203E-2"/>
    <s v="Hashtag 1"/>
    <x v="0"/>
  </r>
  <r>
    <s v="P079"/>
    <x v="2"/>
    <d v="2024-10-09T00:00:00"/>
    <x v="3"/>
    <s v="Check out our latest carousel on instagram!"/>
    <n v="3068"/>
    <n v="137"/>
    <n v="329"/>
    <n v="39884"/>
    <n v="39404"/>
    <n v="266"/>
    <s v="#ThirstyForMore"/>
    <s v="FestiveRadiance"/>
    <n v="8.860696018453515E-2"/>
    <s v="Hashtag 1"/>
    <x v="4"/>
  </r>
  <r>
    <s v="P080"/>
    <x v="2"/>
    <d v="2024-06-13T00:00:00"/>
    <x v="2"/>
    <s v="Check out our latest story on instagram!"/>
    <n v="2103"/>
    <n v="892"/>
    <n v="103"/>
    <n v="39957"/>
    <n v="39466"/>
    <n v="28"/>
    <s v="#LiveForNow"/>
    <s v="Unassigned"/>
    <n v="7.7533348349475686E-2"/>
    <s v="Hashtag 1"/>
    <x v="0"/>
  </r>
  <r>
    <s v="P081"/>
    <x v="2"/>
    <d v="2024-10-19T00:00:00"/>
    <x v="2"/>
    <s v="Check out our latest story on instagram!"/>
    <n v="1816"/>
    <n v="29"/>
    <n v="41"/>
    <n v="19976"/>
    <n v="19262"/>
    <n v="283"/>
    <s v="#PepsiCoRefresh"/>
    <s v="NewYearRefresh"/>
    <n v="9.4413295955146179E-2"/>
    <s v="Hashtag 1"/>
    <x v="2"/>
  </r>
  <r>
    <s v="P082"/>
    <x v="2"/>
    <d v="2024-07-24T00:00:00"/>
    <x v="4"/>
    <s v="Check out our latest image on instagram!"/>
    <n v="725"/>
    <n v="88"/>
    <n v="428"/>
    <n v="14500"/>
    <n v="13637"/>
    <n v="200"/>
    <s v="#LiveForNow,#PepsiCoRefresh,#AnytimeIsPepsiTime"/>
    <s v="NewYearRefresh"/>
    <n v="8.558620689655172E-2"/>
    <s v="Hashtag 1"/>
    <x v="0"/>
  </r>
  <r>
    <s v="P082"/>
    <x v="2"/>
    <d v="2024-07-24T00:00:00"/>
    <x v="4"/>
    <s v="Check out our latest image on instagram!"/>
    <n v="725"/>
    <n v="88"/>
    <n v="428"/>
    <n v="14500"/>
    <n v="13637"/>
    <n v="200"/>
    <s v="#LiveForNow,#PepsiCoRefresh,#AnytimeIsPepsiTime"/>
    <s v="NewYearRefresh"/>
    <n v="8.558620689655172E-2"/>
    <s v="Hashtag 2"/>
    <x v="2"/>
  </r>
  <r>
    <s v="P082"/>
    <x v="2"/>
    <d v="2024-07-24T00:00:00"/>
    <x v="4"/>
    <s v="Check out our latest image on instagram!"/>
    <n v="725"/>
    <n v="88"/>
    <n v="428"/>
    <n v="14500"/>
    <n v="13637"/>
    <n v="200"/>
    <s v="#LiveForNow,#PepsiCoRefresh,#AnytimeIsPepsiTime"/>
    <s v="NewYearRefresh"/>
    <n v="8.558620689655172E-2"/>
    <s v="Hashtag 3"/>
    <x v="1"/>
  </r>
  <r>
    <s v="P083"/>
    <x v="1"/>
    <d v="2024-10-15T00:00:00"/>
    <x v="5"/>
    <s v="Check out our latest video on youtube!"/>
    <n v="1094"/>
    <n v="472"/>
    <n v="21"/>
    <n v="9846"/>
    <n v="9609"/>
    <n v="112"/>
    <s v="#ThirstyForMore"/>
    <s v="Unassigned"/>
    <n v="0.16118220597196831"/>
    <s v="Hashtag 1"/>
    <x v="4"/>
  </r>
  <r>
    <s v="P084"/>
    <x v="3"/>
    <d v="2024-12-09T00:00:00"/>
    <x v="4"/>
    <s v="Check out our latest image on facebook!"/>
    <n v="1841"/>
    <n v="851"/>
    <n v="342"/>
    <n v="34979"/>
    <n v="34154"/>
    <n v="255"/>
    <s v="#LiveForNow"/>
    <s v="DailyWellness"/>
    <n v="8.6737756939878216E-2"/>
    <s v="Hashtag 1"/>
    <x v="0"/>
  </r>
  <r>
    <s v="P085"/>
    <x v="2"/>
    <d v="2025-04-19T00:00:00"/>
    <x v="4"/>
    <s v="Check out our latest image on instagram!"/>
    <n v="4177"/>
    <n v="569"/>
    <n v="55"/>
    <n v="25062"/>
    <n v="24847"/>
    <n v="230"/>
    <s v="#LiveForNow"/>
    <s v="SummerSplash"/>
    <n v="0.19156491900087783"/>
    <s v="Hashtag 1"/>
    <x v="0"/>
  </r>
  <r>
    <s v="P086"/>
    <x v="1"/>
    <d v="2025-01-27T00:00:00"/>
    <x v="1"/>
    <s v="Check out our latest text on youtube!"/>
    <n v="3428"/>
    <n v="305"/>
    <n v="85"/>
    <n v="58276"/>
    <n v="58052"/>
    <n v="242"/>
    <s v="#ThirstyForMore,#BetterWithPepsi"/>
    <s v="DailyWellness"/>
    <n v="6.5515821264328367E-2"/>
    <s v="Hashtag 1"/>
    <x v="4"/>
  </r>
  <r>
    <s v="P086"/>
    <x v="1"/>
    <d v="2025-01-27T00:00:00"/>
    <x v="1"/>
    <s v="Check out our latest text on youtube!"/>
    <n v="3428"/>
    <n v="305"/>
    <n v="85"/>
    <n v="58276"/>
    <n v="58052"/>
    <n v="242"/>
    <s v="#ThirstyForMore,#BetterWithPepsi"/>
    <s v="DailyWellness"/>
    <n v="6.5515821264328367E-2"/>
    <s v="Hashtag 2"/>
    <x v="3"/>
  </r>
  <r>
    <s v="P087"/>
    <x v="0"/>
    <d v="2024-06-06T00:00:00"/>
    <x v="5"/>
    <s v="Check out our latest video on twitter!"/>
    <n v="1436"/>
    <n v="765"/>
    <n v="496"/>
    <n v="12924"/>
    <n v="12701"/>
    <n v="197"/>
    <s v="#LiveForNow"/>
    <s v="NewYearRefresh"/>
    <n v="0.20868152274837512"/>
    <s v="Hashtag 1"/>
    <x v="0"/>
  </r>
  <r>
    <s v="P088"/>
    <x v="3"/>
    <d v="2024-07-07T00:00:00"/>
    <x v="2"/>
    <s v="Check out our latest story on facebook!"/>
    <n v="302"/>
    <n v="47"/>
    <n v="430"/>
    <n v="5738"/>
    <n v="4890"/>
    <n v="25"/>
    <s v="#PepsiCoRefresh"/>
    <s v="DailyWellness"/>
    <n v="0.13576158940397351"/>
    <s v="Hashtag 1"/>
    <x v="2"/>
  </r>
  <r>
    <s v="P089"/>
    <x v="0"/>
    <d v="2025-01-10T00:00:00"/>
    <x v="4"/>
    <s v="Check out our latest image on twitter!"/>
    <n v="2214"/>
    <n v="249"/>
    <n v="152"/>
    <n v="15498"/>
    <n v="14800"/>
    <n v="180"/>
    <s v="#ThirstyForMore"/>
    <s v="Unassigned"/>
    <n v="0.16873144921925409"/>
    <s v="Hashtag 1"/>
    <x v="4"/>
  </r>
  <r>
    <s v="P090"/>
    <x v="2"/>
    <d v="2024-06-03T00:00:00"/>
    <x v="4"/>
    <s v="Check out our latest image on instagram!"/>
    <n v="3861"/>
    <n v="960"/>
    <n v="101"/>
    <n v="69498"/>
    <n v="68817"/>
    <n v="297"/>
    <s v="#PepsiCoRefresh"/>
    <s v="DailyWellness"/>
    <n v="7.0822181933293038E-2"/>
    <s v="Hashtag 1"/>
    <x v="2"/>
  </r>
  <r>
    <s v="P091"/>
    <x v="3"/>
    <d v="2025-03-24T00:00:00"/>
    <x v="4"/>
    <s v="Check out our latest image on facebook!"/>
    <n v="1263"/>
    <n v="397"/>
    <n v="357"/>
    <n v="25260"/>
    <n v="24615"/>
    <n v="137"/>
    <s v="#ThirstyForMore"/>
    <s v="DailyWellness"/>
    <n v="7.984956452889945E-2"/>
    <s v="Hashtag 1"/>
    <x v="4"/>
  </r>
  <r>
    <s v="P092"/>
    <x v="0"/>
    <d v="2024-10-21T00:00:00"/>
    <x v="2"/>
    <s v="Check out our latest story on twitter!"/>
    <n v="3801"/>
    <n v="967"/>
    <n v="401"/>
    <n v="38010"/>
    <n v="37625"/>
    <n v="236"/>
    <s v="#LiveForNow"/>
    <s v="NewYearRefresh"/>
    <n v="0.13599052880820836"/>
    <s v="Hashtag 1"/>
    <x v="0"/>
  </r>
  <r>
    <s v="P093"/>
    <x v="2"/>
    <d v="2024-12-11T00:00:00"/>
    <x v="5"/>
    <s v="Check out our latest video on instagram!"/>
    <n v="1431"/>
    <n v="951"/>
    <n v="26"/>
    <n v="8586"/>
    <n v="8396"/>
    <n v="150"/>
    <s v="#ThirstyForMore"/>
    <s v="NewYearRefresh"/>
    <n v="0.28045655718611695"/>
    <s v="Hashtag 1"/>
    <x v="4"/>
  </r>
  <r>
    <s v="P094"/>
    <x v="2"/>
    <d v="2024-11-07T00:00:00"/>
    <x v="4"/>
    <s v="Check out our latest image on instagram!"/>
    <n v="2647"/>
    <n v="304"/>
    <n v="170"/>
    <n v="18529"/>
    <n v="17841"/>
    <n v="46"/>
    <s v="#LiveForNow"/>
    <s v="NewYearRefresh"/>
    <n v="0.16843866371633656"/>
    <s v="Hashtag 1"/>
    <x v="0"/>
  </r>
  <r>
    <s v="P095"/>
    <x v="2"/>
    <d v="2024-11-08T00:00:00"/>
    <x v="1"/>
    <s v="Check out our latest text on instagram!"/>
    <n v="3182"/>
    <n v="559"/>
    <n v="160"/>
    <n v="57276"/>
    <n v="56890"/>
    <n v="163"/>
    <s v="#LiveForNow"/>
    <s v="DailyWellness"/>
    <n v="6.8108806480899509E-2"/>
    <s v="Hashtag 1"/>
    <x v="0"/>
  </r>
  <r>
    <s v="P096"/>
    <x v="0"/>
    <d v="2024-09-10T00:00:00"/>
    <x v="4"/>
    <s v="Check out our latest image on twitter!"/>
    <n v="1238"/>
    <n v="366"/>
    <n v="444"/>
    <n v="19808"/>
    <n v="19334"/>
    <n v="123"/>
    <s v="#LiveForNow"/>
    <s v="Unassigned"/>
    <n v="0.10339256865912763"/>
    <s v="Hashtag 1"/>
    <x v="0"/>
  </r>
  <r>
    <s v="P097"/>
    <x v="2"/>
    <d v="2024-08-13T00:00:00"/>
    <x v="4"/>
    <s v="Check out our latest image on instagram!"/>
    <n v="4739"/>
    <n v="527"/>
    <n v="135"/>
    <n v="61607"/>
    <n v="61333"/>
    <n v="36"/>
    <s v="#PepsiCoRefresh,#AnytimeIsPepsiTime"/>
    <s v="FestiveRadiance"/>
    <n v="8.7668609086629767E-2"/>
    <s v="Hashtag 1"/>
    <x v="2"/>
  </r>
  <r>
    <s v="P097"/>
    <x v="2"/>
    <d v="2024-08-13T00:00:00"/>
    <x v="4"/>
    <s v="Check out our latest image on instagram!"/>
    <n v="4739"/>
    <n v="527"/>
    <n v="135"/>
    <n v="61607"/>
    <n v="61333"/>
    <n v="36"/>
    <s v="#PepsiCoRefresh,#AnytimeIsPepsiTime"/>
    <s v="FestiveRadiance"/>
    <n v="8.7668609086629767E-2"/>
    <s v="Hashtag 2"/>
    <x v="1"/>
  </r>
  <r>
    <s v="P098"/>
    <x v="0"/>
    <d v="2024-06-10T00:00:00"/>
    <x v="2"/>
    <s v="Check out our latest story on twitter!"/>
    <n v="1575"/>
    <n v="771"/>
    <n v="486"/>
    <n v="25200"/>
    <n v="24826"/>
    <n v="17"/>
    <s v="#LiveForNow"/>
    <s v="DailyWellness"/>
    <n v="0.11238095238095239"/>
    <s v="Hashtag 1"/>
    <x v="0"/>
  </r>
  <r>
    <s v="P099"/>
    <x v="1"/>
    <d v="2024-07-02T00:00:00"/>
    <x v="3"/>
    <s v="Check out our latest carousel on youtube!"/>
    <n v="4171"/>
    <n v="548"/>
    <n v="86"/>
    <n v="66736"/>
    <n v="66634"/>
    <n v="173"/>
    <s v="#LiveForNow"/>
    <s v="NewYearRefresh"/>
    <n v="7.2000119875329657E-2"/>
    <s v="Hashtag 1"/>
    <x v="0"/>
  </r>
  <r>
    <s v="P100"/>
    <x v="1"/>
    <d v="2025-02-10T00:00:00"/>
    <x v="5"/>
    <s v="Check out our latest video on youtube!"/>
    <n v="1766"/>
    <n v="92"/>
    <n v="424"/>
    <n v="24724"/>
    <n v="24333"/>
    <n v="52"/>
    <s v="#ThirstyForMore"/>
    <s v="Unassigned"/>
    <n v="9.2298980747451867E-2"/>
    <s v="Hashtag 1"/>
    <x v="4"/>
  </r>
  <r>
    <s v="P101"/>
    <x v="1"/>
    <d v="2024-10-18T00:00:00"/>
    <x v="5"/>
    <s v="Check out our latest video on youtube!"/>
    <n v="4450"/>
    <n v="983"/>
    <n v="143"/>
    <n v="75650"/>
    <n v="75008"/>
    <n v="12"/>
    <s v="#LiveForNow"/>
    <s v="NewYearRefresh"/>
    <n v="7.3707865168539333E-2"/>
    <s v="Hashtag 1"/>
    <x v="0"/>
  </r>
  <r>
    <s v="P102"/>
    <x v="0"/>
    <d v="2024-09-18T00:00:00"/>
    <x v="0"/>
    <s v="Check out our latest reel on twitter!"/>
    <n v="1000"/>
    <n v="978"/>
    <n v="162"/>
    <n v="6000"/>
    <n v="5221"/>
    <n v="223"/>
    <s v="#ThirstyForMore"/>
    <s v="FestiveRadiance"/>
    <n v="0.35666666666666669"/>
    <s v="Hashtag 1"/>
    <x v="4"/>
  </r>
  <r>
    <s v="P103"/>
    <x v="3"/>
    <d v="2024-06-11T00:00:00"/>
    <x v="4"/>
    <s v="Check out our latest image on facebook!"/>
    <n v="3689"/>
    <n v="48"/>
    <n v="306"/>
    <n v="40579"/>
    <n v="39588"/>
    <n v="212"/>
    <s v="#ThirstyForMore"/>
    <s v="FestiveRadiance"/>
    <n v="9.9632815002833983E-2"/>
    <s v="Hashtag 1"/>
    <x v="4"/>
  </r>
  <r>
    <s v="P104"/>
    <x v="1"/>
    <d v="2025-03-23T00:00:00"/>
    <x v="2"/>
    <s v="Check out our latest story on youtube!"/>
    <n v="3655"/>
    <n v="568"/>
    <n v="286"/>
    <n v="32895"/>
    <n v="32015"/>
    <n v="199"/>
    <s v="#PepsiCoRefresh"/>
    <s v="NewYearRefresh"/>
    <n v="0.13707250341997265"/>
    <s v="Hashtag 1"/>
    <x v="2"/>
  </r>
  <r>
    <s v="P105"/>
    <x v="2"/>
    <d v="2024-06-14T00:00:00"/>
    <x v="3"/>
    <s v="Check out our latest carousel on instagram!"/>
    <n v="498"/>
    <n v="38"/>
    <n v="42"/>
    <n v="4482"/>
    <n v="3647"/>
    <n v="32"/>
    <s v="#LiveForNow"/>
    <s v="SummerSplash"/>
    <n v="0.12896028558679162"/>
    <s v="Hashtag 1"/>
    <x v="0"/>
  </r>
  <r>
    <s v="P106"/>
    <x v="2"/>
    <d v="2025-02-04T00:00:00"/>
    <x v="4"/>
    <s v="Check out our latest image on instagram!"/>
    <n v="4619"/>
    <n v="821"/>
    <n v="499"/>
    <n v="69285"/>
    <n v="69141"/>
    <n v="298"/>
    <s v="#PepsiCoRefresh"/>
    <s v="DailyWellness"/>
    <n v="8.5718409468138843E-2"/>
    <s v="Hashtag 1"/>
    <x v="2"/>
  </r>
  <r>
    <s v="P107"/>
    <x v="1"/>
    <d v="2024-06-21T00:00:00"/>
    <x v="4"/>
    <s v="Check out our latest image on youtube!"/>
    <n v="4832"/>
    <n v="893"/>
    <n v="10"/>
    <n v="91808"/>
    <n v="91296"/>
    <n v="182"/>
    <s v="#PepsiCoRefresh"/>
    <s v="Unassigned"/>
    <n v="6.2467323109097243E-2"/>
    <s v="Hashtag 1"/>
    <x v="2"/>
  </r>
  <r>
    <s v="P108"/>
    <x v="0"/>
    <d v="2025-03-25T00:00:00"/>
    <x v="5"/>
    <s v="Check out our latest video on twitter!"/>
    <n v="4050"/>
    <n v="871"/>
    <n v="347"/>
    <n v="52650"/>
    <n v="51755"/>
    <n v="209"/>
    <s v="#PepsiCoRefresh"/>
    <s v="FestiveRadiance"/>
    <n v="0.10005698005698006"/>
    <s v="Hashtag 1"/>
    <x v="2"/>
  </r>
  <r>
    <s v="P109"/>
    <x v="0"/>
    <d v="2024-08-08T00:00:00"/>
    <x v="2"/>
    <s v="Check out our latest story on twitter!"/>
    <n v="3649"/>
    <n v="215"/>
    <n v="413"/>
    <n v="25543"/>
    <n v="24963"/>
    <n v="167"/>
    <s v="#LiveForNow"/>
    <s v="NewYearRefresh"/>
    <n v="0.16744313510550835"/>
    <s v="Hashtag 1"/>
    <x v="0"/>
  </r>
  <r>
    <s v="P110"/>
    <x v="2"/>
    <d v="2024-07-29T00:00:00"/>
    <x v="0"/>
    <s v="Check out our latest reel on instagram!"/>
    <n v="3523"/>
    <n v="753"/>
    <n v="482"/>
    <n v="38753"/>
    <n v="38579"/>
    <n v="270"/>
    <s v="#ThirstyForMore"/>
    <s v="FestiveRadiance"/>
    <n v="0.12277759141227776"/>
    <s v="Hashtag 1"/>
    <x v="4"/>
  </r>
  <r>
    <s v="P111"/>
    <x v="1"/>
    <d v="2024-11-23T00:00:00"/>
    <x v="4"/>
    <s v="Check out our latest image on youtube!"/>
    <n v="2719"/>
    <n v="17"/>
    <n v="285"/>
    <n v="40785"/>
    <n v="40281"/>
    <n v="40"/>
    <s v="#PepsiCoRefresh"/>
    <s v="FestiveRadiance"/>
    <n v="7.4071349760941527E-2"/>
    <s v="Hashtag 1"/>
    <x v="2"/>
  </r>
  <r>
    <s v="P112"/>
    <x v="0"/>
    <d v="2024-10-05T00:00:00"/>
    <x v="2"/>
    <s v="Check out our latest story on twitter!"/>
    <n v="1957"/>
    <n v="877"/>
    <n v="238"/>
    <n v="17613"/>
    <n v="16865"/>
    <n v="297"/>
    <s v="#LiveForNow"/>
    <s v="NewYearRefresh"/>
    <n v="0.17441662408448305"/>
    <s v="Hashtag 1"/>
    <x v="0"/>
  </r>
  <r>
    <s v="P113"/>
    <x v="0"/>
    <d v="2024-10-02T00:00:00"/>
    <x v="3"/>
    <s v="Check out our latest carousel on twitter!"/>
    <n v="4419"/>
    <n v="236"/>
    <n v="369"/>
    <n v="44190"/>
    <n v="43582"/>
    <n v="10"/>
    <s v="#ThirstyForMore"/>
    <s v="SummerSplash"/>
    <n v="0.11369088028965829"/>
    <s v="Hashtag 1"/>
    <x v="4"/>
  </r>
  <r>
    <s v="P114"/>
    <x v="0"/>
    <d v="2024-11-14T00:00:00"/>
    <x v="2"/>
    <s v="Check out our latest story on twitter!"/>
    <n v="4000"/>
    <n v="689"/>
    <n v="488"/>
    <n v="40000"/>
    <n v="39569"/>
    <n v="44"/>
    <s v="#LiveForNow"/>
    <s v="SummerSplash"/>
    <n v="0.12942500000000001"/>
    <s v="Hashtag 1"/>
    <x v="0"/>
  </r>
  <r>
    <s v="P115"/>
    <x v="0"/>
    <d v="2025-05-11T00:00:00"/>
    <x v="4"/>
    <s v="Check out our latest image on twitter!"/>
    <n v="2493"/>
    <n v="97"/>
    <n v="44"/>
    <n v="42381"/>
    <n v="41991"/>
    <n v="242"/>
    <s v="#PepsiCoRefresh,#AnytimeIsPepsiTime"/>
    <s v="DailyWellness"/>
    <n v="6.2150491965739366E-2"/>
    <s v="Hashtag 1"/>
    <x v="2"/>
  </r>
  <r>
    <s v="P115"/>
    <x v="0"/>
    <d v="2025-05-11T00:00:00"/>
    <x v="4"/>
    <s v="Check out our latest image on twitter!"/>
    <n v="2493"/>
    <n v="97"/>
    <n v="44"/>
    <n v="42381"/>
    <n v="41991"/>
    <n v="242"/>
    <s v="#PepsiCoRefresh,#AnytimeIsPepsiTime"/>
    <s v="DailyWellness"/>
    <n v="6.2150491965739366E-2"/>
    <s v="Hashtag 2"/>
    <x v="1"/>
  </r>
  <r>
    <s v="P116"/>
    <x v="1"/>
    <d v="2025-03-18T00:00:00"/>
    <x v="0"/>
    <s v="Check out our latest reel on youtube!"/>
    <n v="3704"/>
    <n v="186"/>
    <n v="458"/>
    <n v="25928"/>
    <n v="25081"/>
    <n v="131"/>
    <s v="#PepsiCoRefresh"/>
    <s v="Unassigned"/>
    <n v="0.16769515581610614"/>
    <s v="Hashtag 1"/>
    <x v="2"/>
  </r>
  <r>
    <s v="P117"/>
    <x v="0"/>
    <d v="2024-11-04T00:00:00"/>
    <x v="4"/>
    <s v="Check out our latest image on twitter!"/>
    <n v="1606"/>
    <n v="451"/>
    <n v="405"/>
    <n v="20878"/>
    <n v="20190"/>
    <n v="219"/>
    <s v="#ThirstyForMore"/>
    <s v="DailyWellness"/>
    <n v="0.11792317271769326"/>
    <s v="Hashtag 1"/>
    <x v="4"/>
  </r>
  <r>
    <s v="P118"/>
    <x v="3"/>
    <d v="2024-11-04T00:00:00"/>
    <x v="4"/>
    <s v="Check out our latest image on facebook!"/>
    <n v="4551"/>
    <n v="714"/>
    <n v="207"/>
    <n v="68265"/>
    <n v="67754"/>
    <n v="57"/>
    <s v="#LiveForNow"/>
    <s v="NewYearRefresh"/>
    <n v="8.0158206987475278E-2"/>
    <s v="Hashtag 1"/>
    <x v="0"/>
  </r>
  <r>
    <s v="P119"/>
    <x v="2"/>
    <d v="2025-02-07T00:00:00"/>
    <x v="0"/>
    <s v="Check out our latest reel on instagram!"/>
    <n v="1970"/>
    <n v="675"/>
    <n v="478"/>
    <n v="9850"/>
    <n v="8924"/>
    <n v="117"/>
    <s v="#LiveForNow"/>
    <s v="Unassigned"/>
    <n v="0.31705583756345179"/>
    <s v="Hashtag 1"/>
    <x v="0"/>
  </r>
  <r>
    <s v="P120"/>
    <x v="3"/>
    <d v="2024-10-21T00:00:00"/>
    <x v="2"/>
    <s v="Check out our latest story on facebook!"/>
    <n v="780"/>
    <n v="928"/>
    <n v="301"/>
    <n v="8580"/>
    <n v="8081"/>
    <n v="91"/>
    <s v="#ThirstyForMore"/>
    <s v="NewYearRefresh"/>
    <n v="0.23414918414918415"/>
    <s v="Hashtag 1"/>
    <x v="4"/>
  </r>
  <r>
    <s v="P121"/>
    <x v="2"/>
    <d v="2024-07-29T00:00:00"/>
    <x v="2"/>
    <s v="Check out our latest story on instagram!"/>
    <n v="498"/>
    <n v="701"/>
    <n v="412"/>
    <n v="4980"/>
    <n v="4185"/>
    <n v="185"/>
    <s v="#LiveForNow"/>
    <s v="Unassigned"/>
    <n v="0.32349397590361445"/>
    <s v="Hashtag 1"/>
    <x v="0"/>
  </r>
  <r>
    <s v="P122"/>
    <x v="2"/>
    <d v="2024-10-02T00:00:00"/>
    <x v="1"/>
    <s v="Check out our latest text on instagram!"/>
    <n v="3432"/>
    <n v="869"/>
    <n v="123"/>
    <n v="54912"/>
    <n v="53916"/>
    <n v="264"/>
    <s v="#ThirstyForMore"/>
    <s v="FestiveRadiance"/>
    <n v="8.0565268065268064E-2"/>
    <s v="Hashtag 1"/>
    <x v="4"/>
  </r>
  <r>
    <s v="P123"/>
    <x v="2"/>
    <d v="2024-06-14T00:00:00"/>
    <x v="2"/>
    <s v="Check out our latest story on instagram!"/>
    <n v="4363"/>
    <n v="649"/>
    <n v="140"/>
    <n v="21815"/>
    <n v="21481"/>
    <n v="157"/>
    <s v="#ThirstyForMore"/>
    <s v="SummerSplash"/>
    <n v="0.23616777446710979"/>
    <s v="Hashtag 1"/>
    <x v="4"/>
  </r>
  <r>
    <s v="P124"/>
    <x v="1"/>
    <d v="2025-04-06T00:00:00"/>
    <x v="3"/>
    <s v="Check out our latest carousel on youtube!"/>
    <n v="736"/>
    <n v="771"/>
    <n v="225"/>
    <n v="5152"/>
    <n v="4706"/>
    <n v="19"/>
    <s v="#ThirstyForMore"/>
    <s v="SummerSplash"/>
    <n v="0.33618012422360249"/>
    <s v="Hashtag 1"/>
    <x v="4"/>
  </r>
  <r>
    <s v="P125"/>
    <x v="0"/>
    <d v="2024-09-08T00:00:00"/>
    <x v="3"/>
    <s v="Check out our latest carousel on twitter!"/>
    <n v="3811"/>
    <n v="866"/>
    <n v="216"/>
    <n v="34299"/>
    <n v="34088"/>
    <n v="233"/>
    <s v="#PepsiCoRefresh"/>
    <s v="DailyWellness"/>
    <n v="0.14265722032712325"/>
    <s v="Hashtag 1"/>
    <x v="2"/>
  </r>
  <r>
    <s v="P126"/>
    <x v="2"/>
    <d v="2025-03-28T00:00:00"/>
    <x v="3"/>
    <s v="Check out our latest carousel on instagram!"/>
    <n v="4158"/>
    <n v="167"/>
    <n v="241"/>
    <n v="45738"/>
    <n v="45183"/>
    <n v="142"/>
    <s v="#LiveForNow"/>
    <s v="Unassigned"/>
    <n v="9.9829463465827106E-2"/>
    <s v="Hashtag 1"/>
    <x v="0"/>
  </r>
  <r>
    <s v="P127"/>
    <x v="3"/>
    <d v="2025-01-27T00:00:00"/>
    <x v="0"/>
    <s v="Check out our latest reel on facebook!"/>
    <n v="3452"/>
    <n v="652"/>
    <n v="442"/>
    <n v="65588"/>
    <n v="65049"/>
    <n v="158"/>
    <s v="#LiveForNow"/>
    <s v="NewYearRefresh"/>
    <n v="6.9311459413307311E-2"/>
    <s v="Hashtag 1"/>
    <x v="0"/>
  </r>
  <r>
    <s v="P128"/>
    <x v="0"/>
    <d v="2025-01-10T00:00:00"/>
    <x v="4"/>
    <s v="Check out our latest image on twitter!"/>
    <n v="3092"/>
    <n v="106"/>
    <n v="291"/>
    <n v="27828"/>
    <n v="27217"/>
    <n v="102"/>
    <s v="#LiveForNow"/>
    <s v="Unassigned"/>
    <n v="0.12537731780940059"/>
    <s v="Hashtag 1"/>
    <x v="0"/>
  </r>
  <r>
    <s v="P129"/>
    <x v="0"/>
    <d v="2024-07-21T00:00:00"/>
    <x v="1"/>
    <s v="Check out our latest text on twitter!"/>
    <n v="2147"/>
    <n v="430"/>
    <n v="393"/>
    <n v="17176"/>
    <n v="16483"/>
    <n v="170"/>
    <s v="#PepsiCoRefresh"/>
    <s v="Unassigned"/>
    <n v="0.17291569632044715"/>
    <s v="Hashtag 1"/>
    <x v="2"/>
  </r>
  <r>
    <s v="P130"/>
    <x v="1"/>
    <d v="2024-09-29T00:00:00"/>
    <x v="0"/>
    <s v="Check out our latest reel on youtube!"/>
    <n v="2936"/>
    <n v="439"/>
    <n v="44"/>
    <n v="38168"/>
    <n v="37571"/>
    <n v="22"/>
    <s v="#ThirstyForMore"/>
    <s v="DailyWellness"/>
    <n v="8.9577656675749323E-2"/>
    <s v="Hashtag 1"/>
    <x v="4"/>
  </r>
  <r>
    <s v="P131"/>
    <x v="2"/>
    <d v="2024-10-21T00:00:00"/>
    <x v="0"/>
    <s v="Check out our latest reel on instagram!"/>
    <n v="4840"/>
    <n v="658"/>
    <n v="211"/>
    <n v="43560"/>
    <n v="43225"/>
    <n v="57"/>
    <s v="#LiveForNow"/>
    <s v="NewYearRefresh"/>
    <n v="0.13106060606060607"/>
    <s v="Hashtag 1"/>
    <x v="0"/>
  </r>
  <r>
    <s v="P132"/>
    <x v="2"/>
    <d v="2025-03-04T00:00:00"/>
    <x v="2"/>
    <s v="Check out our latest story on instagram!"/>
    <n v="1947"/>
    <n v="842"/>
    <n v="101"/>
    <n v="21417"/>
    <n v="20967"/>
    <n v="186"/>
    <s v="#LiveForNow"/>
    <s v="FestiveRadiance"/>
    <n v="0.13493953401503478"/>
    <s v="Hashtag 1"/>
    <x v="0"/>
  </r>
  <r>
    <s v="P133"/>
    <x v="3"/>
    <d v="2025-02-06T00:00:00"/>
    <x v="4"/>
    <s v="Check out our latest image on facebook!"/>
    <n v="2072"/>
    <n v="532"/>
    <n v="71"/>
    <n v="37296"/>
    <n v="36467"/>
    <n v="25"/>
    <s v="#PepsiCoRefresh"/>
    <s v="DailyWellness"/>
    <n v="7.172350922350923E-2"/>
    <s v="Hashtag 1"/>
    <x v="2"/>
  </r>
  <r>
    <s v="P134"/>
    <x v="0"/>
    <d v="2025-04-24T00:00:00"/>
    <x v="0"/>
    <s v="Check out our latest reel on twitter!"/>
    <n v="3731"/>
    <n v="115"/>
    <n v="135"/>
    <n v="55965"/>
    <n v="55436"/>
    <n v="103"/>
    <s v="#PepsiCoRefresh"/>
    <s v="SummerSplash"/>
    <n v="7.1133744304476013E-2"/>
    <s v="Hashtag 1"/>
    <x v="2"/>
  </r>
  <r>
    <s v="P135"/>
    <x v="3"/>
    <d v="2024-11-28T00:00:00"/>
    <x v="1"/>
    <s v="Check out our latest text on facebook!"/>
    <n v="4213"/>
    <n v="253"/>
    <n v="434"/>
    <n v="75834"/>
    <n v="75437"/>
    <n v="272"/>
    <s v="#LiveForNow"/>
    <s v="DailyWellness"/>
    <n v="6.461481657304112E-2"/>
    <s v="Hashtag 1"/>
    <x v="0"/>
  </r>
  <r>
    <s v="P136"/>
    <x v="2"/>
    <d v="2024-07-11T00:00:00"/>
    <x v="1"/>
    <s v="Check out our latest text on instagram!"/>
    <n v="3134"/>
    <n v="888"/>
    <n v="444"/>
    <n v="21938"/>
    <n v="21337"/>
    <n v="130"/>
    <s v="#ThirstyForMore"/>
    <s v="DailyWellness"/>
    <n v="0.20357370772176134"/>
    <s v="Hashtag 1"/>
    <x v="4"/>
  </r>
  <r>
    <s v="P137"/>
    <x v="3"/>
    <d v="2024-07-31T00:00:00"/>
    <x v="5"/>
    <s v="Check out our latest video on facebook!"/>
    <n v="3008"/>
    <n v="94"/>
    <n v="37"/>
    <n v="15040"/>
    <n v="14639"/>
    <n v="277"/>
    <s v="#LiveForNow"/>
    <s v="Unassigned"/>
    <n v="0.20871010638297871"/>
    <s v="Hashtag 1"/>
    <x v="0"/>
  </r>
  <r>
    <s v="P138"/>
    <x v="0"/>
    <d v="2025-03-29T00:00:00"/>
    <x v="4"/>
    <s v="Check out our latest image on twitter!"/>
    <n v="305"/>
    <n v="187"/>
    <n v="243"/>
    <n v="4575"/>
    <n v="3704"/>
    <n v="234"/>
    <s v="#LiveForNow"/>
    <s v="NewYearRefresh"/>
    <n v="0.16065573770491803"/>
    <s v="Hashtag 1"/>
    <x v="0"/>
  </r>
  <r>
    <s v="P139"/>
    <x v="1"/>
    <d v="2024-10-29T00:00:00"/>
    <x v="1"/>
    <s v="Check out our latest text on youtube!"/>
    <n v="2746"/>
    <n v="156"/>
    <n v="203"/>
    <n v="32952"/>
    <n v="32147"/>
    <n v="147"/>
    <s v="#ThirstyForMore"/>
    <s v="SummerSplash"/>
    <n v="9.422796795338674E-2"/>
    <s v="Hashtag 1"/>
    <x v="4"/>
  </r>
  <r>
    <s v="P140"/>
    <x v="3"/>
    <d v="2024-07-15T00:00:00"/>
    <x v="4"/>
    <s v="Check out our latest image on facebook!"/>
    <n v="2291"/>
    <n v="78"/>
    <n v="485"/>
    <n v="18328"/>
    <n v="18101"/>
    <n v="10"/>
    <s v="#ThirstyForMore,#SmoothLikeNitroPepsi"/>
    <s v="FestiveRadiance"/>
    <n v="0.15571802706241816"/>
    <s v="Hashtag 1"/>
    <x v="4"/>
  </r>
  <r>
    <s v="P140"/>
    <x v="3"/>
    <d v="2024-07-15T00:00:00"/>
    <x v="4"/>
    <s v="Check out our latest image on facebook!"/>
    <n v="2291"/>
    <n v="78"/>
    <n v="485"/>
    <n v="18328"/>
    <n v="18101"/>
    <n v="10"/>
    <s v="#ThirstyForMore,#SmoothLikeNitroPepsi"/>
    <s v="FestiveRadiance"/>
    <n v="0.15571802706241816"/>
    <s v="Hashtag 2"/>
    <x v="5"/>
  </r>
  <r>
    <s v="P141"/>
    <x v="0"/>
    <d v="2024-08-31T00:00:00"/>
    <x v="4"/>
    <s v="Check out our latest image on twitter!"/>
    <n v="3170"/>
    <n v="857"/>
    <n v="379"/>
    <n v="19020"/>
    <n v="18559"/>
    <n v="240"/>
    <s v="#LiveForNow"/>
    <s v="Unassigned"/>
    <n v="0.2316508937960042"/>
    <s v="Hashtag 1"/>
    <x v="0"/>
  </r>
  <r>
    <s v="P142"/>
    <x v="1"/>
    <d v="2025-03-25T00:00:00"/>
    <x v="2"/>
    <s v="Check out our latest story on youtube!"/>
    <n v="2070"/>
    <n v="275"/>
    <n v="386"/>
    <n v="39330"/>
    <n v="38627"/>
    <n v="114"/>
    <s v="#LiveForNow"/>
    <s v="DailyWellness"/>
    <n v="6.9438087973557078E-2"/>
    <s v="Hashtag 1"/>
    <x v="0"/>
  </r>
  <r>
    <s v="P143"/>
    <x v="1"/>
    <d v="2024-10-02T00:00:00"/>
    <x v="3"/>
    <s v="Check out our latest carousel on youtube!"/>
    <n v="80"/>
    <n v="362"/>
    <n v="80"/>
    <n v="1040"/>
    <n v="349"/>
    <n v="117"/>
    <s v="#PepsiCoRefresh"/>
    <s v="NewYearRefresh"/>
    <n v="0.50192307692307692"/>
    <s v="Hashtag 1"/>
    <x v="2"/>
  </r>
  <r>
    <s v="P144"/>
    <x v="1"/>
    <d v="2024-10-28T00:00:00"/>
    <x v="2"/>
    <s v="Check out our latest story on youtube!"/>
    <n v="4929"/>
    <n v="749"/>
    <n v="452"/>
    <n v="93651"/>
    <n v="92810"/>
    <n v="66"/>
    <s v="#ThirstyForMore"/>
    <s v="DailyWellness"/>
    <n v="6.5455787978772245E-2"/>
    <s v="Hashtag 1"/>
    <x v="4"/>
  </r>
  <r>
    <s v="P145"/>
    <x v="2"/>
    <d v="2024-08-12T00:00:00"/>
    <x v="3"/>
    <s v="Check out our latest carousel on instagram!"/>
    <n v="1878"/>
    <n v="62"/>
    <n v="179"/>
    <n v="37560"/>
    <n v="36874"/>
    <n v="142"/>
    <s v="#PepsiCoRefresh"/>
    <s v="DailyWellness"/>
    <n v="5.6416400425985093E-2"/>
    <s v="Hashtag 1"/>
    <x v="2"/>
  </r>
  <r>
    <s v="P146"/>
    <x v="1"/>
    <d v="2024-06-05T00:00:00"/>
    <x v="0"/>
    <s v="Check out our latest reel on youtube!"/>
    <n v="3065"/>
    <n v="772"/>
    <n v="142"/>
    <n v="18390"/>
    <n v="17875"/>
    <n v="200"/>
    <s v="#ThirstyForMore,#AnytimeIsPepsiTime"/>
    <s v="Unassigned"/>
    <n v="0.21636759108210984"/>
    <s v="Hashtag 1"/>
    <x v="4"/>
  </r>
  <r>
    <s v="P146"/>
    <x v="1"/>
    <d v="2024-06-05T00:00:00"/>
    <x v="0"/>
    <s v="Check out our latest reel on youtube!"/>
    <n v="3065"/>
    <n v="772"/>
    <n v="142"/>
    <n v="18390"/>
    <n v="17875"/>
    <n v="200"/>
    <s v="#ThirstyForMore,#AnytimeIsPepsiTime"/>
    <s v="Unassigned"/>
    <n v="0.21636759108210984"/>
    <s v="Hashtag 2"/>
    <x v="1"/>
  </r>
  <r>
    <s v="P147"/>
    <x v="2"/>
    <d v="2024-10-21T00:00:00"/>
    <x v="0"/>
    <s v="Check out our latest reel on instagram!"/>
    <n v="3256"/>
    <n v="459"/>
    <n v="266"/>
    <n v="26048"/>
    <n v="25529"/>
    <n v="143"/>
    <s v="#PepsiCoRefresh"/>
    <s v="FestiveRadiance"/>
    <n v="0.15283323095823095"/>
    <s v="Hashtag 1"/>
    <x v="2"/>
  </r>
  <r>
    <s v="P148"/>
    <x v="2"/>
    <d v="2025-04-15T00:00:00"/>
    <x v="5"/>
    <s v="Check out our latest video on instagram!"/>
    <n v="4133"/>
    <n v="466"/>
    <n v="327"/>
    <n v="24798"/>
    <n v="24620"/>
    <n v="176"/>
    <s v="#ThirstyForMore"/>
    <s v="DailyWellness"/>
    <n v="0.19864505202032423"/>
    <s v="Hashtag 1"/>
    <x v="4"/>
  </r>
  <r>
    <s v="P149"/>
    <x v="0"/>
    <d v="2024-06-16T00:00:00"/>
    <x v="5"/>
    <s v="Check out our latest video on twitter!"/>
    <n v="1702"/>
    <n v="750"/>
    <n v="179"/>
    <n v="34040"/>
    <n v="33174"/>
    <n v="76"/>
    <s v="#ThirstyForMore"/>
    <s v="SummerSplash"/>
    <n v="7.7291421856639245E-2"/>
    <s v="Hashtag 1"/>
    <x v="4"/>
  </r>
  <r>
    <s v="P150"/>
    <x v="1"/>
    <d v="2024-08-22T00:00:00"/>
    <x v="3"/>
    <s v="Check out our latest carousel on youtube!"/>
    <n v="4295"/>
    <n v="853"/>
    <n v="325"/>
    <n v="85900"/>
    <n v="85788"/>
    <n v="290"/>
    <s v="#PepsiCoRefresh"/>
    <s v="DailyWellness"/>
    <n v="6.3713620488940623E-2"/>
    <s v="Hashtag 1"/>
    <x v="2"/>
  </r>
  <r>
    <s v="P151"/>
    <x v="2"/>
    <d v="2024-07-26T00:00:00"/>
    <x v="4"/>
    <s v="Check out our latest image on instagram!"/>
    <n v="3559"/>
    <n v="59"/>
    <n v="289"/>
    <n v="35590"/>
    <n v="35105"/>
    <n v="122"/>
    <s v="#ThirstyForMore"/>
    <s v="SummerSplash"/>
    <n v="0.10977802753582468"/>
    <s v="Hashtag 1"/>
    <x v="4"/>
  </r>
  <r>
    <s v="P152"/>
    <x v="3"/>
    <d v="2025-04-22T00:00:00"/>
    <x v="4"/>
    <s v="Check out our latest image on facebook!"/>
    <n v="4804"/>
    <n v="550"/>
    <n v="270"/>
    <n v="28824"/>
    <n v="28370"/>
    <n v="47"/>
    <s v="#ThirstyForMore"/>
    <s v="DailyWellness"/>
    <n v="0.19511518179295032"/>
    <s v="Hashtag 1"/>
    <x v="4"/>
  </r>
  <r>
    <s v="P153"/>
    <x v="0"/>
    <d v="2025-01-01T00:00:00"/>
    <x v="5"/>
    <s v="Check out our latest video on twitter!"/>
    <n v="754"/>
    <n v="197"/>
    <n v="257"/>
    <n v="6786"/>
    <n v="6221"/>
    <n v="212"/>
    <s v="#PepsiCoRefresh"/>
    <s v="NewYearRefresh"/>
    <n v="0.17801355732390214"/>
    <s v="Hashtag 1"/>
    <x v="2"/>
  </r>
  <r>
    <s v="P154"/>
    <x v="2"/>
    <d v="2024-10-09T00:00:00"/>
    <x v="3"/>
    <s v="Check out our latest carousel on instagram!"/>
    <n v="985"/>
    <n v="932"/>
    <n v="287"/>
    <n v="6895"/>
    <n v="6757"/>
    <n v="64"/>
    <s v="#LiveForNow"/>
    <s v="DailyWellness"/>
    <n v="0.31965192168237855"/>
    <s v="Hashtag 1"/>
    <x v="0"/>
  </r>
  <r>
    <s v="P155"/>
    <x v="1"/>
    <d v="2024-12-21T00:00:00"/>
    <x v="4"/>
    <s v="Check out our latest image on youtube!"/>
    <n v="2283"/>
    <n v="210"/>
    <n v="130"/>
    <n v="22830"/>
    <n v="22617"/>
    <n v="143"/>
    <s v="#LiveForNow"/>
    <s v="FestiveRadiance"/>
    <n v="0.11489268506351293"/>
    <s v="Hashtag 1"/>
    <x v="0"/>
  </r>
  <r>
    <s v="P156"/>
    <x v="3"/>
    <d v="2024-10-22T00:00:00"/>
    <x v="3"/>
    <s v="Check out our latest carousel on facebook!"/>
    <n v="3352"/>
    <n v="941"/>
    <n v="482"/>
    <n v="43576"/>
    <n v="43338"/>
    <n v="240"/>
    <s v="#LiveForNow"/>
    <s v="FestiveRadiance"/>
    <n v="0.1095786671562328"/>
    <s v="Hashtag 1"/>
    <x v="0"/>
  </r>
  <r>
    <s v="P157"/>
    <x v="1"/>
    <d v="2024-07-23T00:00:00"/>
    <x v="2"/>
    <s v="Check out our latest story on youtube!"/>
    <n v="4775"/>
    <n v="173"/>
    <n v="206"/>
    <n v="47750"/>
    <n v="47544"/>
    <n v="187"/>
    <s v="#LiveForNow"/>
    <s v="FestiveRadiance"/>
    <n v="0.10793717277486911"/>
    <s v="Hashtag 1"/>
    <x v="0"/>
  </r>
  <r>
    <s v="P158"/>
    <x v="2"/>
    <d v="2024-08-11T00:00:00"/>
    <x v="2"/>
    <s v="Check out our latest story on instagram!"/>
    <n v="1762"/>
    <n v="405"/>
    <n v="423"/>
    <n v="22906"/>
    <n v="21925"/>
    <n v="25"/>
    <s v="#PepsiCoRefresh"/>
    <s v="SummerSplash"/>
    <n v="0.11307081114118571"/>
    <s v="Hashtag 1"/>
    <x v="2"/>
  </r>
  <r>
    <s v="P159"/>
    <x v="3"/>
    <d v="2024-11-25T00:00:00"/>
    <x v="2"/>
    <s v="Check out our latest story on facebook!"/>
    <n v="2120"/>
    <n v="158"/>
    <n v="488"/>
    <n v="12720"/>
    <n v="12085"/>
    <n v="17"/>
    <s v="#LiveForNow"/>
    <s v="FestiveRadiance"/>
    <n v="0.21745283018867925"/>
    <s v="Hashtag 1"/>
    <x v="0"/>
  </r>
  <r>
    <s v="P160"/>
    <x v="0"/>
    <d v="2024-08-24T00:00:00"/>
    <x v="5"/>
    <s v="Check out our latest video on twitter!"/>
    <n v="1082"/>
    <n v="209"/>
    <n v="484"/>
    <n v="19476"/>
    <n v="18654"/>
    <n v="20"/>
    <s v="#PepsiCoRefresh"/>
    <s v="Unassigned"/>
    <n v="9.1137810638734856E-2"/>
    <s v="Hashtag 1"/>
    <x v="2"/>
  </r>
  <r>
    <s v="P161"/>
    <x v="0"/>
    <d v="2025-02-19T00:00:00"/>
    <x v="1"/>
    <s v="Check out our latest text on twitter!"/>
    <n v="4671"/>
    <n v="876"/>
    <n v="366"/>
    <n v="51381"/>
    <n v="50565"/>
    <n v="245"/>
    <s v="#PepsiCoRefresh"/>
    <s v="DailyWellness"/>
    <n v="0.11508145034156594"/>
    <s v="Hashtag 1"/>
    <x v="2"/>
  </r>
  <r>
    <s v="P162"/>
    <x v="3"/>
    <d v="2025-04-01T00:00:00"/>
    <x v="2"/>
    <s v="Check out our latest story on facebook!"/>
    <n v="3430"/>
    <n v="566"/>
    <n v="164"/>
    <n v="48020"/>
    <n v="47305"/>
    <n v="120"/>
    <s v="#LiveForNow"/>
    <s v="Unassigned"/>
    <n v="8.6630570595585168E-2"/>
    <s v="Hashtag 1"/>
    <x v="0"/>
  </r>
  <r>
    <s v="P163"/>
    <x v="2"/>
    <d v="2025-04-08T00:00:00"/>
    <x v="4"/>
    <s v="Check out our latest image on instagram!"/>
    <n v="4501"/>
    <n v="375"/>
    <n v="323"/>
    <n v="22505"/>
    <n v="21836"/>
    <n v="132"/>
    <s v="#PepsiCoRefresh"/>
    <s v="FestiveRadiance"/>
    <n v="0.23101532992668297"/>
    <s v="Hashtag 1"/>
    <x v="2"/>
  </r>
  <r>
    <s v="P164"/>
    <x v="1"/>
    <d v="2025-02-27T00:00:00"/>
    <x v="1"/>
    <s v="Check out our latest text on youtube!"/>
    <n v="4934"/>
    <n v="971"/>
    <n v="156"/>
    <n v="39472"/>
    <n v="39025"/>
    <n v="169"/>
    <s v="#PepsiCoRefresh,#AnytimeIsPepsiTime"/>
    <s v="DailyWellness"/>
    <n v="0.15355188488042157"/>
    <s v="Hashtag 1"/>
    <x v="2"/>
  </r>
  <r>
    <s v="P164"/>
    <x v="1"/>
    <d v="2025-02-27T00:00:00"/>
    <x v="1"/>
    <s v="Check out our latest text on youtube!"/>
    <n v="4934"/>
    <n v="971"/>
    <n v="156"/>
    <n v="39472"/>
    <n v="39025"/>
    <n v="169"/>
    <s v="#PepsiCoRefresh,#AnytimeIsPepsiTime"/>
    <s v="DailyWellness"/>
    <n v="0.15355188488042157"/>
    <s v="Hashtag 2"/>
    <x v="1"/>
  </r>
  <r>
    <s v="P165"/>
    <x v="0"/>
    <d v="2024-12-11T00:00:00"/>
    <x v="1"/>
    <s v="Check out our latest text on twitter!"/>
    <n v="3239"/>
    <n v="43"/>
    <n v="211"/>
    <n v="22673"/>
    <n v="22171"/>
    <n v="230"/>
    <s v="#PepsiCoRefresh"/>
    <s v="FestiveRadiance"/>
    <n v="0.15405989502933004"/>
    <s v="Hashtag 1"/>
    <x v="2"/>
  </r>
  <r>
    <s v="P166"/>
    <x v="0"/>
    <d v="2025-02-16T00:00:00"/>
    <x v="0"/>
    <s v="Check out our latest reel on twitter!"/>
    <n v="1076"/>
    <n v="313"/>
    <n v="306"/>
    <n v="11836"/>
    <n v="11596"/>
    <n v="104"/>
    <s v="#LiveForNow"/>
    <s v="SummerSplash"/>
    <n v="0.14320716458262928"/>
    <s v="Hashtag 1"/>
    <x v="0"/>
  </r>
  <r>
    <s v="P167"/>
    <x v="2"/>
    <d v="2024-11-28T00:00:00"/>
    <x v="1"/>
    <s v="Check out our latest text on instagram!"/>
    <n v="4771"/>
    <n v="818"/>
    <n v="56"/>
    <n v="57252"/>
    <n v="56378"/>
    <n v="150"/>
    <s v="#LiveForNow"/>
    <s v="Unassigned"/>
    <n v="9.859917557465242E-2"/>
    <s v="Hashtag 1"/>
    <x v="0"/>
  </r>
  <r>
    <s v="P168"/>
    <x v="3"/>
    <d v="2024-11-12T00:00:00"/>
    <x v="1"/>
    <s v="Check out our latest text on facebook!"/>
    <n v="2418"/>
    <n v="754"/>
    <n v="54"/>
    <n v="43524"/>
    <n v="42743"/>
    <n v="182"/>
    <s v="#ThirstyForMore"/>
    <s v="SummerSplash"/>
    <n v="7.412002573292896E-2"/>
    <s v="Hashtag 1"/>
    <x v="4"/>
  </r>
  <r>
    <s v="P169"/>
    <x v="1"/>
    <d v="2024-12-03T00:00:00"/>
    <x v="5"/>
    <s v="Check out our latest video on youtube!"/>
    <n v="3809"/>
    <n v="273"/>
    <n v="200"/>
    <n v="34281"/>
    <n v="33534"/>
    <n v="83"/>
    <s v="#ThirstyForMore"/>
    <s v="SummerSplash"/>
    <n v="0.12490884163239112"/>
    <s v="Hashtag 1"/>
    <x v="4"/>
  </r>
  <r>
    <s v="P170"/>
    <x v="0"/>
    <d v="2025-04-28T00:00:00"/>
    <x v="1"/>
    <s v="Check out our latest text on twitter!"/>
    <n v="3577"/>
    <n v="596"/>
    <n v="493"/>
    <n v="67963"/>
    <n v="67839"/>
    <n v="53"/>
    <s v="#PepsiCoRefresh"/>
    <s v="NewYearRefresh"/>
    <n v="6.8655003457763777E-2"/>
    <s v="Hashtag 1"/>
    <x v="2"/>
  </r>
  <r>
    <s v="P171"/>
    <x v="1"/>
    <d v="2024-12-31T00:00:00"/>
    <x v="5"/>
    <s v="Check out our latest video on youtube!"/>
    <n v="1018"/>
    <n v="447"/>
    <n v="332"/>
    <n v="18324"/>
    <n v="18164"/>
    <n v="38"/>
    <s v="#LiveForNow"/>
    <s v="FestiveRadiance"/>
    <n v="9.8068107400130972E-2"/>
    <s v="Hashtag 1"/>
    <x v="0"/>
  </r>
  <r>
    <s v="P172"/>
    <x v="3"/>
    <d v="2024-08-14T00:00:00"/>
    <x v="3"/>
    <s v="Check out our latest carousel on facebook!"/>
    <n v="3073"/>
    <n v="553"/>
    <n v="174"/>
    <n v="52241"/>
    <n v="51605"/>
    <n v="246"/>
    <s v="#ThirstyForMore"/>
    <s v="NewYearRefresh"/>
    <n v="7.2739802071170159E-2"/>
    <s v="Hashtag 1"/>
    <x v="4"/>
  </r>
  <r>
    <s v="P173"/>
    <x v="0"/>
    <d v="2024-12-05T00:00:00"/>
    <x v="5"/>
    <s v="Check out our latest video on twitter!"/>
    <n v="1330"/>
    <n v="925"/>
    <n v="35"/>
    <n v="15960"/>
    <n v="15379"/>
    <n v="229"/>
    <s v="#LiveForNow"/>
    <s v="NewYearRefresh"/>
    <n v="0.14348370927318296"/>
    <s v="Hashtag 1"/>
    <x v="0"/>
  </r>
  <r>
    <s v="P174"/>
    <x v="3"/>
    <d v="2024-06-22T00:00:00"/>
    <x v="1"/>
    <s v="Check out our latest text on facebook!"/>
    <n v="3828"/>
    <n v="148"/>
    <n v="253"/>
    <n v="30624"/>
    <n v="30229"/>
    <n v="235"/>
    <s v="#ThirstyForMore"/>
    <s v="Unassigned"/>
    <n v="0.13809430512016718"/>
    <s v="Hashtag 1"/>
    <x v="4"/>
  </r>
  <r>
    <s v="P175"/>
    <x v="2"/>
    <d v="2025-01-17T00:00:00"/>
    <x v="0"/>
    <s v="Check out our latest reel on instagram!"/>
    <n v="142"/>
    <n v="784"/>
    <n v="183"/>
    <n v="1704"/>
    <n v="995"/>
    <n v="154"/>
    <s v="#LiveForNow"/>
    <s v="DailyWellness"/>
    <n v="0.6508215962441315"/>
    <s v="Hashtag 1"/>
    <x v="0"/>
  </r>
  <r>
    <s v="P176"/>
    <x v="3"/>
    <d v="2024-06-20T00:00:00"/>
    <x v="5"/>
    <s v="Check out our latest video on facebook!"/>
    <n v="3798"/>
    <n v="31"/>
    <n v="279"/>
    <n v="75960"/>
    <n v="75813"/>
    <n v="266"/>
    <s v="#PepsiCoRefresh"/>
    <s v="SummerSplash"/>
    <n v="5.4081095313322801E-2"/>
    <s v="Hashtag 1"/>
    <x v="2"/>
  </r>
  <r>
    <s v="P177"/>
    <x v="2"/>
    <d v="2024-07-10T00:00:00"/>
    <x v="3"/>
    <s v="Check out our latest carousel on instagram!"/>
    <n v="3099"/>
    <n v="694"/>
    <n v="171"/>
    <n v="43386"/>
    <n v="42921"/>
    <n v="52"/>
    <s v="#PepsiCoRefresh"/>
    <s v="NewYearRefresh"/>
    <n v="9.1365878393951966E-2"/>
    <s v="Hashtag 1"/>
    <x v="2"/>
  </r>
  <r>
    <s v="P178"/>
    <x v="2"/>
    <d v="2024-11-07T00:00:00"/>
    <x v="5"/>
    <s v="Check out our latest video on instagram!"/>
    <n v="129"/>
    <n v="643"/>
    <n v="136"/>
    <n v="1290"/>
    <n v="839"/>
    <n v="238"/>
    <s v="#PepsiCoRefresh"/>
    <s v="DailyWellness"/>
    <n v="0.70387596899224802"/>
    <s v="Hashtag 1"/>
    <x v="2"/>
  </r>
  <r>
    <s v="P179"/>
    <x v="3"/>
    <d v="2024-07-15T00:00:00"/>
    <x v="3"/>
    <s v="Check out our latest carousel on facebook!"/>
    <n v="3796"/>
    <n v="667"/>
    <n v="395"/>
    <n v="64532"/>
    <n v="63550"/>
    <n v="292"/>
    <s v="#PepsiCoRefresh"/>
    <s v="Unassigned"/>
    <n v="7.5280481001673588E-2"/>
    <s v="Hashtag 1"/>
    <x v="2"/>
  </r>
  <r>
    <s v="P180"/>
    <x v="1"/>
    <d v="2024-12-03T00:00:00"/>
    <x v="1"/>
    <s v="Check out our latest text on youtube!"/>
    <n v="3711"/>
    <n v="352"/>
    <n v="290"/>
    <n v="48243"/>
    <n v="47579"/>
    <n v="11"/>
    <s v="#PepsiCoRefresh"/>
    <s v="SummerSplash"/>
    <n v="9.023070704558174E-2"/>
    <s v="Hashtag 1"/>
    <x v="2"/>
  </r>
  <r>
    <s v="P181"/>
    <x v="1"/>
    <d v="2025-03-21T00:00:00"/>
    <x v="4"/>
    <s v="Check out our latest image on youtube!"/>
    <n v="606"/>
    <n v="789"/>
    <n v="470"/>
    <n v="7878"/>
    <n v="7389"/>
    <n v="239"/>
    <s v="#ThirstyForMore"/>
    <s v="NewYearRefresh"/>
    <n v="0.23673521198273673"/>
    <s v="Hashtag 1"/>
    <x v="4"/>
  </r>
  <r>
    <s v="P182"/>
    <x v="3"/>
    <d v="2024-07-31T00:00:00"/>
    <x v="4"/>
    <s v="Check out our latest image on facebook!"/>
    <n v="4689"/>
    <n v="134"/>
    <n v="403"/>
    <n v="51579"/>
    <n v="50924"/>
    <n v="173"/>
    <s v="#PepsiCoRefresh"/>
    <s v="DailyWellness"/>
    <n v="0.10132030477519921"/>
    <s v="Hashtag 1"/>
    <x v="2"/>
  </r>
  <r>
    <s v="P183"/>
    <x v="2"/>
    <d v="2024-12-17T00:00:00"/>
    <x v="2"/>
    <s v="Check out our latest story on instagram!"/>
    <n v="360"/>
    <n v="590"/>
    <n v="393"/>
    <n v="4680"/>
    <n v="4322"/>
    <n v="208"/>
    <s v="#LiveForNow"/>
    <s v="FestiveRadiance"/>
    <n v="0.28696581196581195"/>
    <s v="Hashtag 1"/>
    <x v="0"/>
  </r>
  <r>
    <s v="P184"/>
    <x v="0"/>
    <d v="2024-07-28T00:00:00"/>
    <x v="4"/>
    <s v="Check out our latest image on twitter!"/>
    <n v="3215"/>
    <n v="960"/>
    <n v="202"/>
    <n v="32150"/>
    <n v="31404"/>
    <n v="251"/>
    <s v="#ThirstyForMore"/>
    <s v="SummerSplash"/>
    <n v="0.13614307931570763"/>
    <s v="Hashtag 1"/>
    <x v="4"/>
  </r>
  <r>
    <s v="P185"/>
    <x v="2"/>
    <d v="2025-01-11T00:00:00"/>
    <x v="3"/>
    <s v="Check out our latest carousel on instagram!"/>
    <n v="4523"/>
    <n v="61"/>
    <n v="157"/>
    <n v="49753"/>
    <n v="49329"/>
    <n v="71"/>
    <s v="#ThirstyForMore"/>
    <s v="Unassigned"/>
    <n v="9.5290736237010829E-2"/>
    <s v="Hashtag 1"/>
    <x v="4"/>
  </r>
  <r>
    <s v="P186"/>
    <x v="3"/>
    <d v="2024-08-24T00:00:00"/>
    <x v="3"/>
    <s v="Check out our latest carousel on facebook!"/>
    <n v="4292"/>
    <n v="51"/>
    <n v="392"/>
    <n v="55796"/>
    <n v="54826"/>
    <n v="264"/>
    <s v="#ThirstyForMore"/>
    <s v="NewYearRefresh"/>
    <n v="8.4862714173059003E-2"/>
    <s v="Hashtag 1"/>
    <x v="4"/>
  </r>
  <r>
    <s v="P187"/>
    <x v="0"/>
    <d v="2024-12-22T00:00:00"/>
    <x v="0"/>
    <s v="Check out our latest reel on twitter!"/>
    <n v="1644"/>
    <n v="546"/>
    <n v="150"/>
    <n v="27948"/>
    <n v="27184"/>
    <n v="300"/>
    <s v="#ThirstyForMore"/>
    <s v="NewYearRefresh"/>
    <n v="8.3726921425504502E-2"/>
    <s v="Hashtag 1"/>
    <x v="4"/>
  </r>
  <r>
    <s v="P188"/>
    <x v="1"/>
    <d v="2024-06-06T00:00:00"/>
    <x v="0"/>
    <s v="Check out our latest reel on youtube!"/>
    <n v="2728"/>
    <n v="533"/>
    <n v="215"/>
    <n v="40920"/>
    <n v="40816"/>
    <n v="137"/>
    <s v="#LiveForNow"/>
    <s v="FestiveRadiance"/>
    <n v="8.4946236559139784E-2"/>
    <s v="Hashtag 1"/>
    <x v="0"/>
  </r>
  <r>
    <s v="P189"/>
    <x v="3"/>
    <d v="2025-03-24T00:00:00"/>
    <x v="0"/>
    <s v="Check out our latest reel on facebook!"/>
    <n v="3360"/>
    <n v="525"/>
    <n v="500"/>
    <n v="60480"/>
    <n v="59610"/>
    <n v="192"/>
    <s v="#PepsiCoRefresh"/>
    <s v="SummerSplash"/>
    <n v="7.2503306878306875E-2"/>
    <s v="Hashtag 1"/>
    <x v="2"/>
  </r>
  <r>
    <s v="P190"/>
    <x v="1"/>
    <d v="2024-10-04T00:00:00"/>
    <x v="1"/>
    <s v="Check out our latest text on youtube!"/>
    <n v="1963"/>
    <n v="213"/>
    <n v="19"/>
    <n v="39260"/>
    <n v="38771"/>
    <n v="145"/>
    <s v="#LiveForNow"/>
    <s v="Unassigned"/>
    <n v="5.5909322465613857E-2"/>
    <s v="Hashtag 1"/>
    <x v="0"/>
  </r>
  <r>
    <s v="P191"/>
    <x v="1"/>
    <d v="2024-12-03T00:00:00"/>
    <x v="2"/>
    <s v="Check out our latest story on youtube!"/>
    <n v="4285"/>
    <n v="886"/>
    <n v="376"/>
    <n v="55705"/>
    <n v="55556"/>
    <n v="51"/>
    <s v="#LiveForNow"/>
    <s v="NewYearRefresh"/>
    <n v="9.9578134817341346E-2"/>
    <s v="Hashtag 1"/>
    <x v="0"/>
  </r>
  <r>
    <s v="P192"/>
    <x v="2"/>
    <d v="2024-11-29T00:00:00"/>
    <x v="5"/>
    <s v="Check out our latest video on instagram!"/>
    <n v="1176"/>
    <n v="464"/>
    <n v="394"/>
    <n v="14112"/>
    <n v="13588"/>
    <n v="272"/>
    <s v="#ThirstyForMore"/>
    <s v="Unassigned"/>
    <n v="0.1441326530612245"/>
    <s v="Hashtag 1"/>
    <x v="4"/>
  </r>
  <r>
    <s v="P193"/>
    <x v="0"/>
    <d v="2024-09-11T00:00:00"/>
    <x v="4"/>
    <s v="Check out our latest image on twitter!"/>
    <n v="4858"/>
    <n v="317"/>
    <n v="129"/>
    <n v="53438"/>
    <n v="52687"/>
    <n v="223"/>
    <s v="#ThirstyForMore"/>
    <s v="NewYearRefresh"/>
    <n v="9.9255211647142488E-2"/>
    <s v="Hashtag 1"/>
    <x v="4"/>
  </r>
  <r>
    <s v="P194"/>
    <x v="1"/>
    <d v="2024-10-02T00:00:00"/>
    <x v="2"/>
    <s v="Check out our latest story on youtube!"/>
    <n v="4350"/>
    <n v="771"/>
    <n v="7"/>
    <n v="60900"/>
    <n v="60592"/>
    <n v="195"/>
    <s v="#ThirstyForMore"/>
    <s v="SummerSplash"/>
    <n v="8.4203612479474554E-2"/>
    <s v="Hashtag 1"/>
    <x v="4"/>
  </r>
  <r>
    <s v="P195"/>
    <x v="2"/>
    <d v="2024-08-15T00:00:00"/>
    <x v="3"/>
    <s v="Check out our latest carousel on instagram!"/>
    <n v="914"/>
    <n v="464"/>
    <n v="246"/>
    <n v="11882"/>
    <n v="11500"/>
    <n v="282"/>
    <s v="#LiveForNow,#PepsiCoRefresh,#AnytimeIsPepsiTime"/>
    <s v="DailyWellness"/>
    <n v="0.13667732704931829"/>
    <s v="Hashtag 1"/>
    <x v="0"/>
  </r>
  <r>
    <s v="P195"/>
    <x v="2"/>
    <d v="2024-08-15T00:00:00"/>
    <x v="3"/>
    <s v="Check out our latest carousel on instagram!"/>
    <n v="914"/>
    <n v="464"/>
    <n v="246"/>
    <n v="11882"/>
    <n v="11500"/>
    <n v="282"/>
    <s v="#LiveForNow,#PepsiCoRefresh,#AnytimeIsPepsiTime"/>
    <s v="DailyWellness"/>
    <n v="0.13667732704931829"/>
    <s v="Hashtag 2"/>
    <x v="2"/>
  </r>
  <r>
    <s v="P195"/>
    <x v="2"/>
    <d v="2024-08-15T00:00:00"/>
    <x v="3"/>
    <s v="Check out our latest carousel on instagram!"/>
    <n v="914"/>
    <n v="464"/>
    <n v="246"/>
    <n v="11882"/>
    <n v="11500"/>
    <n v="282"/>
    <s v="#LiveForNow,#PepsiCoRefresh,#AnytimeIsPepsiTime"/>
    <s v="DailyWellness"/>
    <n v="0.13667732704931829"/>
    <s v="Hashtag 3"/>
    <x v="1"/>
  </r>
  <r>
    <s v="P196"/>
    <x v="2"/>
    <d v="2024-12-19T00:00:00"/>
    <x v="1"/>
    <s v="Check out our latest text on instagram!"/>
    <n v="1813"/>
    <n v="623"/>
    <n v="72"/>
    <n v="19943"/>
    <n v="18959"/>
    <n v="85"/>
    <s v="#ThirstyForMore"/>
    <s v="NewYearRefresh"/>
    <n v="0.12575841147269717"/>
    <s v="Hashtag 1"/>
    <x v="4"/>
  </r>
  <r>
    <s v="P197"/>
    <x v="0"/>
    <d v="2024-10-22T00:00:00"/>
    <x v="0"/>
    <s v="Check out our latest reel on twitter!"/>
    <n v="4782"/>
    <n v="721"/>
    <n v="82"/>
    <n v="86076"/>
    <n v="85339"/>
    <n v="19"/>
    <s v="#ThirstyForMore"/>
    <s v="SummerSplash"/>
    <n v="6.4884520656164318E-2"/>
    <s v="Hashtag 1"/>
    <x v="4"/>
  </r>
  <r>
    <s v="P198"/>
    <x v="0"/>
    <d v="2024-09-14T00:00:00"/>
    <x v="4"/>
    <s v="Check out our latest image on twitter!"/>
    <n v="1048"/>
    <n v="374"/>
    <n v="450"/>
    <n v="9432"/>
    <n v="8882"/>
    <n v="158"/>
    <s v="#PepsiCoRefresh"/>
    <s v="NewYearRefresh"/>
    <n v="0.19847328244274809"/>
    <s v="Hashtag 1"/>
    <x v="2"/>
  </r>
  <r>
    <s v="P199"/>
    <x v="1"/>
    <d v="2024-11-30T00:00:00"/>
    <x v="3"/>
    <s v="Check out our latest carousel on youtube!"/>
    <n v="2509"/>
    <n v="324"/>
    <n v="171"/>
    <n v="35126"/>
    <n v="34685"/>
    <n v="277"/>
    <s v="#PepsiCoRefresh"/>
    <s v="FestiveRadiance"/>
    <n v="8.5520696919660646E-2"/>
    <s v="Hashtag 1"/>
    <x v="2"/>
  </r>
  <r>
    <s v="P200"/>
    <x v="3"/>
    <d v="2025-04-07T00:00:00"/>
    <x v="0"/>
    <s v="Check out our latest reel on facebook!"/>
    <n v="3718"/>
    <n v="385"/>
    <n v="310"/>
    <n v="70642"/>
    <n v="69749"/>
    <n v="233"/>
    <s v="#PepsiCoRefresh"/>
    <s v="FestiveRadiance"/>
    <n v="6.246991874522239E-2"/>
    <s v="Hashtag 1"/>
    <x v="2"/>
  </r>
  <r>
    <s v="P201"/>
    <x v="0"/>
    <d v="2025-01-15T00:00:00"/>
    <x v="0"/>
    <s v="Check out our latest reel on twitter!"/>
    <n v="802"/>
    <n v="262"/>
    <n v="244"/>
    <n v="14436"/>
    <n v="14280"/>
    <n v="49"/>
    <s v="#ThirstyForMore"/>
    <s v="SummerSplash"/>
    <n v="9.0606816292601824E-2"/>
    <s v="Hashtag 1"/>
    <x v="4"/>
  </r>
  <r>
    <s v="P202"/>
    <x v="3"/>
    <d v="2024-06-02T00:00:00"/>
    <x v="4"/>
    <s v="Check out our latest image on facebook!"/>
    <n v="1871"/>
    <n v="252"/>
    <n v="335"/>
    <n v="29936"/>
    <n v="29576"/>
    <n v="288"/>
    <s v="#ThirstyForMore"/>
    <s v="NewYearRefresh"/>
    <n v="8.2108498129342594E-2"/>
    <s v="Hashtag 1"/>
    <x v="4"/>
  </r>
  <r>
    <s v="P203"/>
    <x v="2"/>
    <d v="2024-11-21T00:00:00"/>
    <x v="3"/>
    <s v="Check out our latest carousel on instagram!"/>
    <n v="3773"/>
    <n v="299"/>
    <n v="38"/>
    <n v="71687"/>
    <n v="71447"/>
    <n v="286"/>
    <s v="#LiveForNow"/>
    <s v="SummerSplash"/>
    <n v="5.7332570758993957E-2"/>
    <s v="Hashtag 1"/>
    <x v="0"/>
  </r>
  <r>
    <s v="P204"/>
    <x v="2"/>
    <d v="2025-01-01T00:00:00"/>
    <x v="3"/>
    <s v="Check out our latest carousel on instagram!"/>
    <n v="2234"/>
    <n v="653"/>
    <n v="432"/>
    <n v="11170"/>
    <n v="10569"/>
    <n v="198"/>
    <s v="#LiveForNow"/>
    <s v="NewYearRefresh"/>
    <n v="0.29713518352730528"/>
    <s v="Hashtag 1"/>
    <x v="0"/>
  </r>
  <r>
    <s v="P205"/>
    <x v="0"/>
    <d v="2025-04-24T00:00:00"/>
    <x v="5"/>
    <s v="Check out our latest video on twitter!"/>
    <n v="3820"/>
    <n v="697"/>
    <n v="268"/>
    <n v="45840"/>
    <n v="45631"/>
    <n v="171"/>
    <s v="#PepsiCoRefresh,#SmoothLikeNitroPepsi"/>
    <s v="DailyWellness"/>
    <n v="0.1043848167539267"/>
    <s v="Hashtag 1"/>
    <x v="2"/>
  </r>
  <r>
    <s v="P205"/>
    <x v="0"/>
    <d v="2025-04-24T00:00:00"/>
    <x v="5"/>
    <s v="Check out our latest video on twitter!"/>
    <n v="3820"/>
    <n v="697"/>
    <n v="268"/>
    <n v="45840"/>
    <n v="45631"/>
    <n v="171"/>
    <s v="#PepsiCoRefresh,#SmoothLikeNitroPepsi"/>
    <s v="DailyWellness"/>
    <n v="0.1043848167539267"/>
    <s v="Hashtag 2"/>
    <x v="5"/>
  </r>
  <r>
    <s v="P206"/>
    <x v="0"/>
    <d v="2024-06-24T00:00:00"/>
    <x v="1"/>
    <s v="Check out our latest text on twitter!"/>
    <n v="941"/>
    <n v="121"/>
    <n v="458"/>
    <n v="14115"/>
    <n v="13838"/>
    <n v="87"/>
    <s v="#ThirstyForMore"/>
    <s v="SummerSplash"/>
    <n v="0.10768685795253277"/>
    <s v="Hashtag 1"/>
    <x v="4"/>
  </r>
  <r>
    <s v="P207"/>
    <x v="0"/>
    <d v="2024-12-29T00:00:00"/>
    <x v="3"/>
    <s v="Check out our latest carousel on twitter!"/>
    <n v="4274"/>
    <n v="340"/>
    <n v="281"/>
    <n v="34192"/>
    <n v="33446"/>
    <n v="129"/>
    <s v="#PepsiCoRefresh,#SmoothLikeNitroPepsi"/>
    <s v="NewYearRefresh"/>
    <n v="0.14316214319138981"/>
    <s v="Hashtag 1"/>
    <x v="2"/>
  </r>
  <r>
    <s v="P207"/>
    <x v="0"/>
    <d v="2024-12-29T00:00:00"/>
    <x v="3"/>
    <s v="Check out our latest carousel on twitter!"/>
    <n v="4274"/>
    <n v="340"/>
    <n v="281"/>
    <n v="34192"/>
    <n v="33446"/>
    <n v="129"/>
    <s v="#PepsiCoRefresh,#SmoothLikeNitroPepsi"/>
    <s v="NewYearRefresh"/>
    <n v="0.14316214319138981"/>
    <s v="Hashtag 2"/>
    <x v="5"/>
  </r>
  <r>
    <s v="P208"/>
    <x v="1"/>
    <d v="2024-06-24T00:00:00"/>
    <x v="5"/>
    <s v="Check out our latest video on youtube!"/>
    <n v="2949"/>
    <n v="476"/>
    <n v="403"/>
    <n v="44235"/>
    <n v="43705"/>
    <n v="135"/>
    <s v="#PepsiCoRefresh"/>
    <s v="FestiveRadiance"/>
    <n v="8.6537809426924378E-2"/>
    <s v="Hashtag 1"/>
    <x v="2"/>
  </r>
  <r>
    <s v="P209"/>
    <x v="0"/>
    <d v="2025-03-19T00:00:00"/>
    <x v="5"/>
    <s v="Check out our latest video on twitter!"/>
    <n v="3160"/>
    <n v="204"/>
    <n v="297"/>
    <n v="44240"/>
    <n v="43666"/>
    <n v="49"/>
    <s v="#LiveForNow,#AnytimeIsPepsiTime"/>
    <s v="DailyWellness"/>
    <n v="8.2753164556962022E-2"/>
    <s v="Hashtag 1"/>
    <x v="0"/>
  </r>
  <r>
    <s v="P209"/>
    <x v="0"/>
    <d v="2025-03-19T00:00:00"/>
    <x v="5"/>
    <s v="Check out our latest video on twitter!"/>
    <n v="3160"/>
    <n v="204"/>
    <n v="297"/>
    <n v="44240"/>
    <n v="43666"/>
    <n v="49"/>
    <s v="#LiveForNow,#AnytimeIsPepsiTime"/>
    <s v="DailyWellness"/>
    <n v="8.2753164556962022E-2"/>
    <s v="Hashtag 2"/>
    <x v="1"/>
  </r>
  <r>
    <s v="P210"/>
    <x v="1"/>
    <d v="2025-02-19T00:00:00"/>
    <x v="4"/>
    <s v="Check out our latest image on youtube!"/>
    <n v="257"/>
    <n v="966"/>
    <n v="398"/>
    <n v="3341"/>
    <n v="2753"/>
    <n v="287"/>
    <s v="#LiveForNow"/>
    <s v="SummerSplash"/>
    <n v="0.48518407662376534"/>
    <s v="Hashtag 1"/>
    <x v="0"/>
  </r>
  <r>
    <s v="P211"/>
    <x v="0"/>
    <d v="2024-07-18T00:00:00"/>
    <x v="3"/>
    <s v="Check out our latest carousel on twitter!"/>
    <n v="2120"/>
    <n v="38"/>
    <n v="212"/>
    <n v="12720"/>
    <n v="12564"/>
    <n v="21"/>
    <s v="#LiveForNow"/>
    <s v="DailyWellness"/>
    <n v="0.18632075471698112"/>
    <s v="Hashtag 1"/>
    <x v="0"/>
  </r>
  <r>
    <s v="P212"/>
    <x v="1"/>
    <d v="2025-03-03T00:00:00"/>
    <x v="5"/>
    <s v="Check out our latest video on youtube!"/>
    <n v="3874"/>
    <n v="884"/>
    <n v="19"/>
    <n v="38740"/>
    <n v="38552"/>
    <n v="219"/>
    <s v="#PepsiCoRefresh"/>
    <s v="FestiveRadiance"/>
    <n v="0.123309241094476"/>
    <s v="Hashtag 1"/>
    <x v="2"/>
  </r>
  <r>
    <s v="P213"/>
    <x v="3"/>
    <d v="2025-05-01T00:00:00"/>
    <x v="3"/>
    <s v="Check out our latest carousel on facebook!"/>
    <n v="2696"/>
    <n v="628"/>
    <n v="443"/>
    <n v="45832"/>
    <n v="45632"/>
    <n v="248"/>
    <s v="#ThirstyForMore"/>
    <s v="DailyWellness"/>
    <n v="8.21914819340199E-2"/>
    <s v="Hashtag 1"/>
    <x v="4"/>
  </r>
  <r>
    <s v="P214"/>
    <x v="2"/>
    <d v="2024-12-23T00:00:00"/>
    <x v="4"/>
    <s v="Check out our latest image on instagram!"/>
    <n v="521"/>
    <n v="746"/>
    <n v="315"/>
    <n v="4168"/>
    <n v="3399"/>
    <n v="282"/>
    <s v="#LiveForNow"/>
    <s v="FestiveRadiance"/>
    <n v="0.37955854126679461"/>
    <s v="Hashtag 1"/>
    <x v="0"/>
  </r>
  <r>
    <s v="P215"/>
    <x v="3"/>
    <d v="2025-05-06T00:00:00"/>
    <x v="4"/>
    <s v="Check out our latest image on facebook!"/>
    <n v="4872"/>
    <n v="925"/>
    <n v="176"/>
    <n v="82824"/>
    <n v="82543"/>
    <n v="89"/>
    <s v="#ThirstyForMore"/>
    <s v="FestiveRadiance"/>
    <n v="7.2116777745580993E-2"/>
    <s v="Hashtag 1"/>
    <x v="4"/>
  </r>
  <r>
    <s v="P216"/>
    <x v="1"/>
    <d v="2024-07-29T00:00:00"/>
    <x v="2"/>
    <s v="Check out our latest story on youtube!"/>
    <n v="1509"/>
    <n v="88"/>
    <n v="163"/>
    <n v="30180"/>
    <n v="29689"/>
    <n v="119"/>
    <s v="#ThirstyForMore"/>
    <s v="FestiveRadiance"/>
    <n v="5.8316766070245198E-2"/>
    <s v="Hashtag 1"/>
    <x v="4"/>
  </r>
  <r>
    <s v="P217"/>
    <x v="3"/>
    <d v="2024-12-03T00:00:00"/>
    <x v="4"/>
    <s v="Check out our latest image on facebook!"/>
    <n v="4606"/>
    <n v="931"/>
    <n v="230"/>
    <n v="92120"/>
    <n v="91440"/>
    <n v="56"/>
    <s v="#PepsiCoRefresh"/>
    <s v="Unassigned"/>
    <n v="6.2603126356925748E-2"/>
    <s v="Hashtag 1"/>
    <x v="2"/>
  </r>
  <r>
    <s v="P218"/>
    <x v="3"/>
    <d v="2024-06-11T00:00:00"/>
    <x v="3"/>
    <s v="Check out our latest carousel on facebook!"/>
    <n v="1869"/>
    <n v="453"/>
    <n v="490"/>
    <n v="14952"/>
    <n v="14309"/>
    <n v="275"/>
    <s v="#PepsiCoRefresh"/>
    <s v="DailyWellness"/>
    <n v="0.18806848582129482"/>
    <s v="Hashtag 1"/>
    <x v="2"/>
  </r>
  <r>
    <s v="P219"/>
    <x v="0"/>
    <d v="2025-01-28T00:00:00"/>
    <x v="0"/>
    <s v="Check out our latest reel on twitter!"/>
    <n v="1188"/>
    <n v="470"/>
    <n v="174"/>
    <n v="7128"/>
    <n v="6145"/>
    <n v="270"/>
    <s v="#PepsiCoRefresh"/>
    <s v="DailyWellness"/>
    <n v="0.25701459034792368"/>
    <s v="Hashtag 1"/>
    <x v="2"/>
  </r>
  <r>
    <s v="P220"/>
    <x v="2"/>
    <d v="2024-06-02T00:00:00"/>
    <x v="2"/>
    <s v="Check out our latest story on instagram!"/>
    <n v="84"/>
    <n v="897"/>
    <n v="85"/>
    <n v="588"/>
    <n v="8"/>
    <n v="12"/>
    <s v="#ThirstyForMore"/>
    <s v="Unassigned"/>
    <n v="1.8129251700680271"/>
    <s v="Hashtag 1"/>
    <x v="4"/>
  </r>
  <r>
    <s v="P221"/>
    <x v="3"/>
    <d v="2025-03-23T00:00:00"/>
    <x v="5"/>
    <s v="Check out our latest video on facebook!"/>
    <n v="4453"/>
    <n v="111"/>
    <n v="420"/>
    <n v="31171"/>
    <n v="30565"/>
    <n v="23"/>
    <s v="#PepsiCoRefresh"/>
    <s v="Unassigned"/>
    <n v="0.15989220750056141"/>
    <s v="Hashtag 1"/>
    <x v="2"/>
  </r>
  <r>
    <s v="P222"/>
    <x v="3"/>
    <d v="2024-10-08T00:00:00"/>
    <x v="0"/>
    <s v="Check out our latest reel on facebook!"/>
    <n v="1814"/>
    <n v="653"/>
    <n v="363"/>
    <n v="25396"/>
    <n v="25286"/>
    <n v="39"/>
    <s v="#LiveForNow,#SmoothLikeNitroPepsi"/>
    <s v="SummerSplash"/>
    <n v="0.11143487163332809"/>
    <s v="Hashtag 1"/>
    <x v="0"/>
  </r>
  <r>
    <s v="P222"/>
    <x v="3"/>
    <d v="2024-10-08T00:00:00"/>
    <x v="0"/>
    <s v="Check out our latest reel on facebook!"/>
    <n v="1814"/>
    <n v="653"/>
    <n v="363"/>
    <n v="25396"/>
    <n v="25286"/>
    <n v="39"/>
    <s v="#LiveForNow,#SmoothLikeNitroPepsi"/>
    <s v="SummerSplash"/>
    <n v="0.11143487163332809"/>
    <s v="Hashtag 2"/>
    <x v="5"/>
  </r>
  <r>
    <s v="P223"/>
    <x v="0"/>
    <d v="2024-11-12T00:00:00"/>
    <x v="4"/>
    <s v="Check out our latest image on twitter!"/>
    <n v="3338"/>
    <n v="277"/>
    <n v="118"/>
    <n v="60084"/>
    <n v="59842"/>
    <n v="252"/>
    <s v="#PepsiCoRefresh"/>
    <s v="Unassigned"/>
    <n v="6.2129685107516146E-2"/>
    <s v="Hashtag 1"/>
    <x v="2"/>
  </r>
  <r>
    <s v="P224"/>
    <x v="3"/>
    <d v="2025-05-13T00:00:00"/>
    <x v="4"/>
    <s v="Check out our latest image on facebook!"/>
    <n v="602"/>
    <n v="594"/>
    <n v="156"/>
    <n v="4214"/>
    <n v="3363"/>
    <n v="164"/>
    <s v="#PepsiCoRefresh"/>
    <s v="NewYearRefresh"/>
    <n v="0.32083531086853345"/>
    <s v="Hashtag 1"/>
    <x v="2"/>
  </r>
  <r>
    <s v="P225"/>
    <x v="0"/>
    <d v="2024-06-20T00:00:00"/>
    <x v="3"/>
    <s v="Check out our latest carousel on twitter!"/>
    <n v="4672"/>
    <n v="325"/>
    <n v="32"/>
    <n v="88768"/>
    <n v="87833"/>
    <n v="118"/>
    <s v="#ThirstyForMore"/>
    <s v="Unassigned"/>
    <n v="5.6653298485940883E-2"/>
    <s v="Hashtag 1"/>
    <x v="4"/>
  </r>
  <r>
    <s v="P226"/>
    <x v="2"/>
    <d v="2024-08-07T00:00:00"/>
    <x v="3"/>
    <s v="Check out our latest carousel on instagram!"/>
    <n v="1741"/>
    <n v="164"/>
    <n v="318"/>
    <n v="8705"/>
    <n v="8272"/>
    <n v="121"/>
    <s v="#PepsiCoRefresh"/>
    <s v="Unassigned"/>
    <n v="0.25537047673750718"/>
    <s v="Hashtag 1"/>
    <x v="2"/>
  </r>
  <r>
    <s v="P227"/>
    <x v="2"/>
    <d v="2024-06-12T00:00:00"/>
    <x v="1"/>
    <s v="Check out our latest text on instagram!"/>
    <n v="246"/>
    <n v="149"/>
    <n v="130"/>
    <n v="4674"/>
    <n v="4390"/>
    <n v="217"/>
    <s v="#LiveForNow"/>
    <s v="NewYearRefresh"/>
    <n v="0.11232349165596919"/>
    <s v="Hashtag 1"/>
    <x v="0"/>
  </r>
  <r>
    <s v="P228"/>
    <x v="2"/>
    <d v="2024-07-01T00:00:00"/>
    <x v="2"/>
    <s v="Check out our latest story on instagram!"/>
    <n v="4808"/>
    <n v="772"/>
    <n v="320"/>
    <n v="72120"/>
    <n v="71696"/>
    <n v="195"/>
    <s v="#ThirstyForMore"/>
    <s v="SummerSplash"/>
    <n v="8.1808097615085965E-2"/>
    <s v="Hashtag 1"/>
    <x v="4"/>
  </r>
  <r>
    <s v="P229"/>
    <x v="2"/>
    <d v="2024-07-03T00:00:00"/>
    <x v="3"/>
    <s v="Check out our latest carousel on instagram!"/>
    <n v="4799"/>
    <n v="694"/>
    <n v="289"/>
    <n v="43191"/>
    <n v="42228"/>
    <n v="118"/>
    <s v="#PepsiCoRefresh"/>
    <s v="Unassigned"/>
    <n v="0.13387048227640017"/>
    <s v="Hashtag 1"/>
    <x v="2"/>
  </r>
  <r>
    <s v="P230"/>
    <x v="3"/>
    <d v="2024-07-15T00:00:00"/>
    <x v="0"/>
    <s v="Check out our latest reel on facebook!"/>
    <n v="3663"/>
    <n v="17"/>
    <n v="295"/>
    <n v="51282"/>
    <n v="50567"/>
    <n v="84"/>
    <s v="#ThirstyForMore"/>
    <s v="NewYearRefresh"/>
    <n v="7.7512577512577507E-2"/>
    <s v="Hashtag 1"/>
    <x v="4"/>
  </r>
  <r>
    <s v="P231"/>
    <x v="2"/>
    <d v="2025-05-01T00:00:00"/>
    <x v="1"/>
    <s v="Check out our latest text on instagram!"/>
    <n v="1430"/>
    <n v="376"/>
    <n v="33"/>
    <n v="21450"/>
    <n v="20509"/>
    <n v="251"/>
    <s v="#LiveForNow"/>
    <s v="SummerSplash"/>
    <n v="8.5734265734265735E-2"/>
    <s v="Hashtag 1"/>
    <x v="0"/>
  </r>
  <r>
    <s v="P232"/>
    <x v="0"/>
    <d v="2025-04-29T00:00:00"/>
    <x v="2"/>
    <s v="Check out our latest story on twitter!"/>
    <n v="249"/>
    <n v="592"/>
    <n v="230"/>
    <n v="1494"/>
    <n v="1044"/>
    <n v="201"/>
    <s v="#ThirstyForMore"/>
    <s v="DailyWellness"/>
    <n v="0.7168674698795181"/>
    <s v="Hashtag 1"/>
    <x v="4"/>
  </r>
  <r>
    <s v="P233"/>
    <x v="3"/>
    <d v="2025-03-08T00:00:00"/>
    <x v="4"/>
    <s v="Check out our latest image on facebook!"/>
    <n v="2382"/>
    <n v="265"/>
    <n v="134"/>
    <n v="38112"/>
    <n v="37437"/>
    <n v="249"/>
    <s v="#LiveForNow"/>
    <s v="DailyWellness"/>
    <n v="7.2969143576826198E-2"/>
    <s v="Hashtag 1"/>
    <x v="0"/>
  </r>
  <r>
    <s v="P234"/>
    <x v="3"/>
    <d v="2024-06-01T00:00:00"/>
    <x v="1"/>
    <s v="Check out our latest text on facebook!"/>
    <n v="1272"/>
    <n v="465"/>
    <n v="99"/>
    <n v="24168"/>
    <n v="23719"/>
    <n v="42"/>
    <s v="#PepsiCoRefresh"/>
    <s v="Unassigned"/>
    <n v="7.5968222442899705E-2"/>
    <s v="Hashtag 1"/>
    <x v="2"/>
  </r>
  <r>
    <s v="P235"/>
    <x v="3"/>
    <d v="2024-12-22T00:00:00"/>
    <x v="4"/>
    <s v="Check out our latest image on facebook!"/>
    <n v="3196"/>
    <n v="941"/>
    <n v="376"/>
    <n v="35156"/>
    <n v="34444"/>
    <n v="241"/>
    <s v="#PepsiCoRefresh"/>
    <s v="NewYearRefresh"/>
    <n v="0.1283706906360223"/>
    <s v="Hashtag 1"/>
    <x v="2"/>
  </r>
  <r>
    <s v="P236"/>
    <x v="3"/>
    <d v="2024-08-19T00:00:00"/>
    <x v="1"/>
    <s v="Check out our latest text on facebook!"/>
    <n v="1257"/>
    <n v="19"/>
    <n v="351"/>
    <n v="12570"/>
    <n v="11660"/>
    <n v="194"/>
    <s v="#LiveForNow,#AnytimeIsPepsiTime,#ThirstyForMore"/>
    <s v="FestiveRadiance"/>
    <n v="0.12943516308671441"/>
    <s v="Hashtag 1"/>
    <x v="0"/>
  </r>
  <r>
    <s v="P236"/>
    <x v="3"/>
    <d v="2024-08-19T00:00:00"/>
    <x v="1"/>
    <s v="Check out our latest text on facebook!"/>
    <n v="1257"/>
    <n v="19"/>
    <n v="351"/>
    <n v="12570"/>
    <n v="11660"/>
    <n v="194"/>
    <s v="#LiveForNow,#AnytimeIsPepsiTime,#ThirstyForMore"/>
    <s v="FestiveRadiance"/>
    <n v="0.12943516308671441"/>
    <s v="Hashtag 2"/>
    <x v="1"/>
  </r>
  <r>
    <s v="P236"/>
    <x v="3"/>
    <d v="2024-08-19T00:00:00"/>
    <x v="1"/>
    <s v="Check out our latest text on facebook!"/>
    <n v="1257"/>
    <n v="19"/>
    <n v="351"/>
    <n v="12570"/>
    <n v="11660"/>
    <n v="194"/>
    <s v="#LiveForNow,#AnytimeIsPepsiTime,#ThirstyForMore"/>
    <s v="FestiveRadiance"/>
    <n v="0.12943516308671441"/>
    <s v="Hashtag 3"/>
    <x v="4"/>
  </r>
  <r>
    <s v="P237"/>
    <x v="2"/>
    <d v="2024-10-22T00:00:00"/>
    <x v="2"/>
    <s v="Check out our latest story on instagram!"/>
    <n v="3770"/>
    <n v="917"/>
    <n v="129"/>
    <n v="71630"/>
    <n v="71322"/>
    <n v="76"/>
    <s v="#LiveForNow"/>
    <s v="SummerSplash"/>
    <n v="6.7234398994834563E-2"/>
    <s v="Hashtag 1"/>
    <x v="0"/>
  </r>
  <r>
    <s v="P238"/>
    <x v="0"/>
    <d v="2024-07-16T00:00:00"/>
    <x v="1"/>
    <s v="Check out our latest text on twitter!"/>
    <n v="4725"/>
    <n v="400"/>
    <n v="362"/>
    <n v="75600"/>
    <n v="74927"/>
    <n v="43"/>
    <s v="#LiveForNow"/>
    <s v="DailyWellness"/>
    <n v="7.2579365079365077E-2"/>
    <s v="Hashtag 1"/>
    <x v="0"/>
  </r>
  <r>
    <s v="P239"/>
    <x v="1"/>
    <d v="2025-02-24T00:00:00"/>
    <x v="1"/>
    <s v="Check out our latest text on youtube!"/>
    <n v="4188"/>
    <n v="942"/>
    <n v="118"/>
    <n v="20940"/>
    <n v="20471"/>
    <n v="102"/>
    <s v="#LiveForNow"/>
    <s v="Unassigned"/>
    <n v="0.25062082139446035"/>
    <s v="Hashtag 1"/>
    <x v="0"/>
  </r>
  <r>
    <s v="P240"/>
    <x v="0"/>
    <d v="2024-08-26T00:00:00"/>
    <x v="3"/>
    <s v="Check out our latest carousel on twitter!"/>
    <n v="929"/>
    <n v="192"/>
    <n v="322"/>
    <n v="16722"/>
    <n v="15996"/>
    <n v="145"/>
    <s v="#ThirstyForMore,#PepsiCoRefresh,#AnytimeIsPepsiTime"/>
    <s v="NewYearRefresh"/>
    <n v="8.6293505561535699E-2"/>
    <s v="Hashtag 1"/>
    <x v="4"/>
  </r>
  <r>
    <s v="P240"/>
    <x v="0"/>
    <d v="2024-08-26T00:00:00"/>
    <x v="3"/>
    <s v="Check out our latest carousel on twitter!"/>
    <n v="929"/>
    <n v="192"/>
    <n v="322"/>
    <n v="16722"/>
    <n v="15996"/>
    <n v="145"/>
    <s v="#ThirstyForMore,#PepsiCoRefresh,#AnytimeIsPepsiTime"/>
    <s v="NewYearRefresh"/>
    <n v="8.6293505561535699E-2"/>
    <s v="Hashtag 2"/>
    <x v="2"/>
  </r>
  <r>
    <s v="P240"/>
    <x v="0"/>
    <d v="2024-08-26T00:00:00"/>
    <x v="3"/>
    <s v="Check out our latest carousel on twitter!"/>
    <n v="929"/>
    <n v="192"/>
    <n v="322"/>
    <n v="16722"/>
    <n v="15996"/>
    <n v="145"/>
    <s v="#ThirstyForMore,#PepsiCoRefresh,#AnytimeIsPepsiTime"/>
    <s v="NewYearRefresh"/>
    <n v="8.6293505561535699E-2"/>
    <s v="Hashtag 3"/>
    <x v="1"/>
  </r>
  <r>
    <s v="P241"/>
    <x v="3"/>
    <d v="2025-01-18T00:00:00"/>
    <x v="2"/>
    <s v="Check out our latest story on facebook!"/>
    <n v="4321"/>
    <n v="874"/>
    <n v="172"/>
    <n v="30247"/>
    <n v="29254"/>
    <n v="122"/>
    <s v="#PepsiCoRefresh"/>
    <s v="DailyWellness"/>
    <n v="0.17743908486792079"/>
    <s v="Hashtag 1"/>
    <x v="2"/>
  </r>
  <r>
    <s v="P242"/>
    <x v="3"/>
    <d v="2024-07-07T00:00:00"/>
    <x v="0"/>
    <s v="Check out our latest reel on facebook!"/>
    <n v="4767"/>
    <n v="190"/>
    <n v="340"/>
    <n v="28602"/>
    <n v="28044"/>
    <n v="210"/>
    <s v="#ThirstyForMore"/>
    <s v="NewYearRefresh"/>
    <n v="0.18519683938186141"/>
    <s v="Hashtag 1"/>
    <x v="4"/>
  </r>
  <r>
    <s v="P243"/>
    <x v="0"/>
    <d v="2025-03-06T00:00:00"/>
    <x v="4"/>
    <s v="Check out our latest image on twitter!"/>
    <n v="3592"/>
    <n v="911"/>
    <n v="375"/>
    <n v="50288"/>
    <n v="49490"/>
    <n v="32"/>
    <s v="#LiveForNow"/>
    <s v="DailyWellness"/>
    <n v="9.7001272669424113E-2"/>
    <s v="Hashtag 1"/>
    <x v="0"/>
  </r>
  <r>
    <s v="P244"/>
    <x v="1"/>
    <d v="2024-10-25T00:00:00"/>
    <x v="5"/>
    <s v="Check out our latest video on youtube!"/>
    <n v="4661"/>
    <n v="935"/>
    <n v="433"/>
    <n v="23305"/>
    <n v="22583"/>
    <n v="63"/>
    <s v="#LiveForNow"/>
    <s v="NewYearRefresh"/>
    <n v="0.25869984981763572"/>
    <s v="Hashtag 1"/>
    <x v="0"/>
  </r>
  <r>
    <s v="P245"/>
    <x v="3"/>
    <d v="2025-01-12T00:00:00"/>
    <x v="0"/>
    <s v="Check out our latest reel on facebook!"/>
    <n v="4134"/>
    <n v="824"/>
    <n v="99"/>
    <n v="41340"/>
    <n v="41050"/>
    <n v="177"/>
    <s v="#ThirstyForMore"/>
    <s v="SummerSplash"/>
    <n v="0.12232704402515723"/>
    <s v="Hashtag 1"/>
    <x v="4"/>
  </r>
  <r>
    <s v="P246"/>
    <x v="3"/>
    <d v="2024-10-11T00:00:00"/>
    <x v="4"/>
    <s v="Check out our latest image on facebook!"/>
    <n v="400"/>
    <n v="680"/>
    <n v="434"/>
    <n v="6400"/>
    <n v="5472"/>
    <n v="160"/>
    <s v="#LiveForNow"/>
    <s v="FestiveRadiance"/>
    <n v="0.23656250000000001"/>
    <s v="Hashtag 1"/>
    <x v="0"/>
  </r>
  <r>
    <s v="P247"/>
    <x v="3"/>
    <d v="2024-08-27T00:00:00"/>
    <x v="0"/>
    <s v="Check out our latest reel on facebook!"/>
    <n v="3960"/>
    <n v="266"/>
    <n v="8"/>
    <n v="35640"/>
    <n v="34850"/>
    <n v="208"/>
    <s v="#LiveForNow,#ThirstyForMore,#BetterWithPepsi"/>
    <s v="Unassigned"/>
    <n v="0.11879910213243547"/>
    <s v="Hashtag 1"/>
    <x v="0"/>
  </r>
  <r>
    <s v="P247"/>
    <x v="3"/>
    <d v="2024-08-27T00:00:00"/>
    <x v="0"/>
    <s v="Check out our latest reel on facebook!"/>
    <n v="3960"/>
    <n v="266"/>
    <n v="8"/>
    <n v="35640"/>
    <n v="34850"/>
    <n v="208"/>
    <s v="#LiveForNow,#ThirstyForMore,#BetterWithPepsi"/>
    <s v="Unassigned"/>
    <n v="0.11879910213243547"/>
    <s v="Hashtag 2"/>
    <x v="4"/>
  </r>
  <r>
    <s v="P247"/>
    <x v="3"/>
    <d v="2024-08-27T00:00:00"/>
    <x v="0"/>
    <s v="Check out our latest reel on facebook!"/>
    <n v="3960"/>
    <n v="266"/>
    <n v="8"/>
    <n v="35640"/>
    <n v="34850"/>
    <n v="208"/>
    <s v="#LiveForNow,#ThirstyForMore,#BetterWithPepsi"/>
    <s v="Unassigned"/>
    <n v="0.11879910213243547"/>
    <s v="Hashtag 3"/>
    <x v="3"/>
  </r>
  <r>
    <s v="P248"/>
    <x v="3"/>
    <d v="2025-02-02T00:00:00"/>
    <x v="2"/>
    <s v="Check out our latest story on facebook!"/>
    <n v="886"/>
    <n v="126"/>
    <n v="153"/>
    <n v="4430"/>
    <n v="4037"/>
    <n v="212"/>
    <s v="#ThirstyForMore"/>
    <s v="Unassigned"/>
    <n v="0.26297968397291194"/>
    <s v="Hashtag 1"/>
    <x v="4"/>
  </r>
  <r>
    <s v="P249"/>
    <x v="0"/>
    <d v="2024-07-18T00:00:00"/>
    <x v="4"/>
    <s v="Check out our latest image on twitter!"/>
    <n v="827"/>
    <n v="77"/>
    <n v="402"/>
    <n v="14886"/>
    <n v="14129"/>
    <n v="254"/>
    <s v="#ThirstyForMore"/>
    <s v="FestiveRadiance"/>
    <n v="8.7733440816874911E-2"/>
    <s v="Hashtag 1"/>
    <x v="4"/>
  </r>
  <r>
    <s v="P250"/>
    <x v="3"/>
    <d v="2024-06-22T00:00:00"/>
    <x v="0"/>
    <s v="Check out our latest reel on facebook!"/>
    <n v="3813"/>
    <n v="935"/>
    <n v="274"/>
    <n v="68634"/>
    <n v="68488"/>
    <n v="251"/>
    <s v="#LiveForNow"/>
    <s v="Unassigned"/>
    <n v="7.3170731707317069E-2"/>
    <s v="Hashtag 1"/>
    <x v="0"/>
  </r>
  <r>
    <s v="P251"/>
    <x v="2"/>
    <d v="2025-03-27T00:00:00"/>
    <x v="3"/>
    <s v="Check out our latest carousel on instagram!"/>
    <n v="1377"/>
    <n v="796"/>
    <n v="387"/>
    <n v="22032"/>
    <n v="21869"/>
    <n v="189"/>
    <s v="#LiveForNow"/>
    <s v="Unassigned"/>
    <n v="0.11619462599854757"/>
    <s v="Hashtag 1"/>
    <x v="0"/>
  </r>
  <r>
    <s v="P252"/>
    <x v="3"/>
    <d v="2025-04-28T00:00:00"/>
    <x v="3"/>
    <s v="Check out our latest carousel on facebook!"/>
    <n v="2089"/>
    <n v="476"/>
    <n v="69"/>
    <n v="16712"/>
    <n v="16309"/>
    <n v="64"/>
    <s v="#LiveForNow"/>
    <s v="NewYearRefresh"/>
    <n v="0.15761129727142173"/>
    <s v="Hashtag 1"/>
    <x v="0"/>
  </r>
  <r>
    <s v="P253"/>
    <x v="0"/>
    <d v="2024-08-03T00:00:00"/>
    <x v="0"/>
    <s v="Check out our latest reel on twitter!"/>
    <n v="3791"/>
    <n v="593"/>
    <n v="228"/>
    <n v="53074"/>
    <n v="52613"/>
    <n v="205"/>
    <s v="#ThirstyForMore"/>
    <s v="Unassigned"/>
    <n v="8.6897539284772202E-2"/>
    <s v="Hashtag 1"/>
    <x v="4"/>
  </r>
  <r>
    <s v="P254"/>
    <x v="0"/>
    <d v="2025-01-14T00:00:00"/>
    <x v="4"/>
    <s v="Check out our latest image on twitter!"/>
    <n v="2692"/>
    <n v="115"/>
    <n v="64"/>
    <n v="21536"/>
    <n v="21120"/>
    <n v="224"/>
    <s v="#LiveForNow"/>
    <s v="FestiveRadiance"/>
    <n v="0.13331166419019316"/>
    <s v="Hashtag 1"/>
    <x v="0"/>
  </r>
  <r>
    <s v="P255"/>
    <x v="3"/>
    <d v="2025-04-03T00:00:00"/>
    <x v="2"/>
    <s v="Check out our latest story on facebook!"/>
    <n v="3767"/>
    <n v="514"/>
    <n v="238"/>
    <n v="37670"/>
    <n v="36807"/>
    <n v="226"/>
    <s v="#LiveForNow"/>
    <s v="DailyWellness"/>
    <n v="0.11996283514733209"/>
    <s v="Hashtag 1"/>
    <x v="0"/>
  </r>
  <r>
    <s v="P256"/>
    <x v="1"/>
    <d v="2024-09-18T00:00:00"/>
    <x v="3"/>
    <s v="Check out our latest carousel on youtube!"/>
    <n v="2143"/>
    <n v="12"/>
    <n v="204"/>
    <n v="40717"/>
    <n v="40125"/>
    <n v="248"/>
    <s v="#ThirstyForMore"/>
    <s v="FestiveRadiance"/>
    <n v="5.7936488444630008E-2"/>
    <s v="Hashtag 1"/>
    <x v="4"/>
  </r>
  <r>
    <s v="P257"/>
    <x v="3"/>
    <d v="2025-04-06T00:00:00"/>
    <x v="4"/>
    <s v="Check out our latest image on facebook!"/>
    <n v="3090"/>
    <n v="697"/>
    <n v="164"/>
    <n v="49440"/>
    <n v="48524"/>
    <n v="25"/>
    <s v="#ThirstyForMore,#ThirstyForMore,#BetterWithPepsi"/>
    <s v="FestiveRadiance"/>
    <n v="7.9915048543689318E-2"/>
    <s v="Hashtag 1"/>
    <x v="4"/>
  </r>
  <r>
    <s v="P257"/>
    <x v="3"/>
    <d v="2025-04-06T00:00:00"/>
    <x v="4"/>
    <s v="Check out our latest image on facebook!"/>
    <n v="3090"/>
    <n v="697"/>
    <n v="164"/>
    <n v="49440"/>
    <n v="48524"/>
    <n v="25"/>
    <s v="#ThirstyForMore,#ThirstyForMore,#BetterWithPepsi"/>
    <s v="FestiveRadiance"/>
    <n v="7.9915048543689318E-2"/>
    <s v="Hashtag 2"/>
    <x v="4"/>
  </r>
  <r>
    <s v="P257"/>
    <x v="3"/>
    <d v="2025-04-06T00:00:00"/>
    <x v="4"/>
    <s v="Check out our latest image on facebook!"/>
    <n v="3090"/>
    <n v="697"/>
    <n v="164"/>
    <n v="49440"/>
    <n v="48524"/>
    <n v="25"/>
    <s v="#ThirstyForMore,#ThirstyForMore,#BetterWithPepsi"/>
    <s v="FestiveRadiance"/>
    <n v="7.9915048543689318E-2"/>
    <s v="Hashtag 3"/>
    <x v="3"/>
  </r>
  <r>
    <s v="P258"/>
    <x v="2"/>
    <d v="2024-08-05T00:00:00"/>
    <x v="2"/>
    <s v="Check out our latest story on instagram!"/>
    <n v="3601"/>
    <n v="695"/>
    <n v="75"/>
    <n v="21606"/>
    <n v="21454"/>
    <n v="172"/>
    <s v="#ThirstyForMore"/>
    <s v="FestiveRadiance"/>
    <n v="0.2023049153013052"/>
    <s v="Hashtag 1"/>
    <x v="4"/>
  </r>
  <r>
    <s v="P259"/>
    <x v="3"/>
    <d v="2025-02-10T00:00:00"/>
    <x v="1"/>
    <s v="Check out our latest text on facebook!"/>
    <n v="562"/>
    <n v="158"/>
    <n v="149"/>
    <n v="3372"/>
    <n v="2940"/>
    <n v="93"/>
    <s v="#PepsiCoRefresh"/>
    <s v="SummerSplash"/>
    <n v="0.25771055753262156"/>
    <s v="Hashtag 1"/>
    <x v="2"/>
  </r>
  <r>
    <s v="P260"/>
    <x v="2"/>
    <d v="2025-02-12T00:00:00"/>
    <x v="2"/>
    <s v="Check out our latest story on instagram!"/>
    <n v="4332"/>
    <n v="771"/>
    <n v="219"/>
    <n v="60648"/>
    <n v="60397"/>
    <n v="10"/>
    <s v="#PepsiCoRefresh,#ThirstyForMore,#BetterWithPepsi"/>
    <s v="NewYearRefresh"/>
    <n v="8.7752275425405618E-2"/>
    <s v="Hashtag 1"/>
    <x v="2"/>
  </r>
  <r>
    <s v="P260"/>
    <x v="2"/>
    <d v="2025-02-12T00:00:00"/>
    <x v="2"/>
    <s v="Check out our latest story on instagram!"/>
    <n v="4332"/>
    <n v="771"/>
    <n v="219"/>
    <n v="60648"/>
    <n v="60397"/>
    <n v="10"/>
    <s v="#PepsiCoRefresh,#ThirstyForMore,#BetterWithPepsi"/>
    <s v="NewYearRefresh"/>
    <n v="8.7752275425405618E-2"/>
    <s v="Hashtag 2"/>
    <x v="4"/>
  </r>
  <r>
    <s v="P260"/>
    <x v="2"/>
    <d v="2025-02-12T00:00:00"/>
    <x v="2"/>
    <s v="Check out our latest story on instagram!"/>
    <n v="4332"/>
    <n v="771"/>
    <n v="219"/>
    <n v="60648"/>
    <n v="60397"/>
    <n v="10"/>
    <s v="#PepsiCoRefresh,#ThirstyForMore,#BetterWithPepsi"/>
    <s v="NewYearRefresh"/>
    <n v="8.7752275425405618E-2"/>
    <s v="Hashtag 3"/>
    <x v="3"/>
  </r>
  <r>
    <s v="P261"/>
    <x v="2"/>
    <d v="2024-10-27T00:00:00"/>
    <x v="4"/>
    <s v="Check out our latest image on instagram!"/>
    <n v="4853"/>
    <n v="837"/>
    <n v="340"/>
    <n v="72795"/>
    <n v="72237"/>
    <n v="170"/>
    <s v="#ThirstyForMore"/>
    <s v="SummerSplash"/>
    <n v="8.2835359571399134E-2"/>
    <s v="Hashtag 1"/>
    <x v="4"/>
  </r>
  <r>
    <s v="P262"/>
    <x v="1"/>
    <d v="2025-01-18T00:00:00"/>
    <x v="4"/>
    <s v="Check out our latest image on youtube!"/>
    <n v="1206"/>
    <n v="238"/>
    <n v="36"/>
    <n v="9648"/>
    <n v="9417"/>
    <n v="237"/>
    <s v="#PepsiCoRefresh"/>
    <s v="Unassigned"/>
    <n v="0.15339966832504145"/>
    <s v="Hashtag 1"/>
    <x v="2"/>
  </r>
  <r>
    <s v="P263"/>
    <x v="2"/>
    <d v="2024-08-20T00:00:00"/>
    <x v="0"/>
    <s v="Check out our latest reel on instagram!"/>
    <n v="2603"/>
    <n v="690"/>
    <n v="205"/>
    <n v="13015"/>
    <n v="12130"/>
    <n v="20"/>
    <s v="#LiveForNow"/>
    <s v="FestiveRadiance"/>
    <n v="0.26876680752977333"/>
    <s v="Hashtag 1"/>
    <x v="0"/>
  </r>
  <r>
    <s v="P264"/>
    <x v="0"/>
    <d v="2025-01-30T00:00:00"/>
    <x v="4"/>
    <s v="Check out our latest image on twitter!"/>
    <n v="59"/>
    <n v="163"/>
    <n v="93"/>
    <n v="590"/>
    <n v="475"/>
    <n v="293"/>
    <s v="#PepsiCoRefresh"/>
    <s v="FestiveRadiance"/>
    <n v="0.53389830508474578"/>
    <s v="Hashtag 1"/>
    <x v="2"/>
  </r>
  <r>
    <s v="P265"/>
    <x v="0"/>
    <d v="2025-02-20T00:00:00"/>
    <x v="3"/>
    <s v="Check out our latest carousel on twitter!"/>
    <n v="1877"/>
    <n v="745"/>
    <n v="225"/>
    <n v="11262"/>
    <n v="10967"/>
    <n v="41"/>
    <s v="#ThirstyForMore"/>
    <s v="DailyWellness"/>
    <n v="0.25279701651571657"/>
    <s v="Hashtag 1"/>
    <x v="4"/>
  </r>
  <r>
    <s v="P266"/>
    <x v="3"/>
    <d v="2024-11-25T00:00:00"/>
    <x v="2"/>
    <s v="Check out our latest story on facebook!"/>
    <n v="4182"/>
    <n v="640"/>
    <n v="240"/>
    <n v="50184"/>
    <n v="49351"/>
    <n v="10"/>
    <s v="#PepsiCoRefresh"/>
    <s v="NewYearRefresh"/>
    <n v="0.10086880280567512"/>
    <s v="Hashtag 1"/>
    <x v="2"/>
  </r>
  <r>
    <s v="P267"/>
    <x v="0"/>
    <d v="2024-10-04T00:00:00"/>
    <x v="0"/>
    <s v="Check out our latest reel on twitter!"/>
    <n v="4187"/>
    <n v="66"/>
    <n v="31"/>
    <n v="66992"/>
    <n v="66614"/>
    <n v="62"/>
    <s v="#LiveForNow"/>
    <s v="Unassigned"/>
    <n v="6.3947934081681396E-2"/>
    <s v="Hashtag 1"/>
    <x v="0"/>
  </r>
  <r>
    <s v="P268"/>
    <x v="2"/>
    <d v="2025-04-13T00:00:00"/>
    <x v="0"/>
    <s v="Check out our latest reel on instagram!"/>
    <n v="4579"/>
    <n v="125"/>
    <n v="300"/>
    <n v="59527"/>
    <n v="59400"/>
    <n v="269"/>
    <s v="#ThirstyForMore"/>
    <s v="SummerSplash"/>
    <n v="8.4062694239588759E-2"/>
    <s v="Hashtag 1"/>
    <x v="4"/>
  </r>
  <r>
    <s v="P269"/>
    <x v="2"/>
    <d v="2024-11-05T00:00:00"/>
    <x v="5"/>
    <s v="Check out our latest video on instagram!"/>
    <n v="4561"/>
    <n v="51"/>
    <n v="441"/>
    <n v="22805"/>
    <n v="21890"/>
    <n v="45"/>
    <s v="#PepsiCoRefresh"/>
    <s v="FestiveRadiance"/>
    <n v="0.22157421618066214"/>
    <s v="Hashtag 1"/>
    <x v="2"/>
  </r>
  <r>
    <s v="P270"/>
    <x v="1"/>
    <d v="2025-01-15T00:00:00"/>
    <x v="0"/>
    <s v="Check out our latest reel on youtube!"/>
    <n v="3774"/>
    <n v="239"/>
    <n v="39"/>
    <n v="60384"/>
    <n v="59490"/>
    <n v="241"/>
    <s v="#PepsiCoRefresh"/>
    <s v="NewYearRefresh"/>
    <n v="6.7103868574456813E-2"/>
    <s v="Hashtag 1"/>
    <x v="2"/>
  </r>
  <r>
    <s v="P271"/>
    <x v="2"/>
    <d v="2024-10-17T00:00:00"/>
    <x v="5"/>
    <s v="Check out our latest video on instagram!"/>
    <n v="3575"/>
    <n v="749"/>
    <n v="111"/>
    <n v="21450"/>
    <n v="20785"/>
    <n v="195"/>
    <s v="#ThirstyForMore"/>
    <s v="FestiveRadiance"/>
    <n v="0.20675990675990677"/>
    <s v="Hashtag 1"/>
    <x v="4"/>
  </r>
  <r>
    <s v="P272"/>
    <x v="2"/>
    <d v="2025-03-27T00:00:00"/>
    <x v="1"/>
    <s v="Check out our latest text on instagram!"/>
    <n v="4941"/>
    <n v="414"/>
    <n v="266"/>
    <n v="39528"/>
    <n v="39154"/>
    <n v="217"/>
    <s v="#PepsiCoRefresh"/>
    <s v="NewYearRefresh"/>
    <n v="0.14220299534507186"/>
    <s v="Hashtag 1"/>
    <x v="2"/>
  </r>
  <r>
    <s v="P273"/>
    <x v="1"/>
    <d v="2024-10-12T00:00:00"/>
    <x v="2"/>
    <s v="Check out our latest story on youtube!"/>
    <n v="3641"/>
    <n v="226"/>
    <n v="46"/>
    <n v="40051"/>
    <n v="39319"/>
    <n v="296"/>
    <s v="#ThirstyForMore"/>
    <s v="DailyWellness"/>
    <n v="9.7700431949264685E-2"/>
    <s v="Hashtag 1"/>
    <x v="4"/>
  </r>
  <r>
    <s v="P274"/>
    <x v="0"/>
    <d v="2025-01-01T00:00:00"/>
    <x v="3"/>
    <s v="Check out our latest carousel on twitter!"/>
    <n v="3535"/>
    <n v="494"/>
    <n v="152"/>
    <n v="53025"/>
    <n v="52791"/>
    <n v="44"/>
    <s v="#PepsiCoRefresh"/>
    <s v="DailyWellness"/>
    <n v="7.8849599245638849E-2"/>
    <s v="Hashtag 1"/>
    <x v="2"/>
  </r>
  <r>
    <s v="P275"/>
    <x v="3"/>
    <d v="2024-08-05T00:00:00"/>
    <x v="0"/>
    <s v="Check out our latest reel on facebook!"/>
    <n v="1741"/>
    <n v="831"/>
    <n v="345"/>
    <n v="17410"/>
    <n v="16844"/>
    <n v="58"/>
    <s v="#ThirstyForMore"/>
    <s v="NewYearRefresh"/>
    <n v="0.16754738655944859"/>
    <s v="Hashtag 1"/>
    <x v="4"/>
  </r>
  <r>
    <s v="P276"/>
    <x v="0"/>
    <d v="2024-06-07T00:00:00"/>
    <x v="3"/>
    <s v="Check out our latest carousel on twitter!"/>
    <n v="1556"/>
    <n v="195"/>
    <n v="131"/>
    <n v="9336"/>
    <n v="8875"/>
    <n v="137"/>
    <s v="#PepsiCoRefresh"/>
    <s v="FestiveRadiance"/>
    <n v="0.2015852613538989"/>
    <s v="Hashtag 1"/>
    <x v="2"/>
  </r>
  <r>
    <s v="P277"/>
    <x v="3"/>
    <d v="2025-04-06T00:00:00"/>
    <x v="4"/>
    <s v="Check out our latest image on facebook!"/>
    <n v="4236"/>
    <n v="711"/>
    <n v="298"/>
    <n v="21180"/>
    <n v="20516"/>
    <n v="238"/>
    <s v="#LiveForNow"/>
    <s v="SummerSplash"/>
    <n v="0.24763928234183191"/>
    <s v="Hashtag 1"/>
    <x v="0"/>
  </r>
  <r>
    <s v="P278"/>
    <x v="0"/>
    <d v="2024-11-26T00:00:00"/>
    <x v="1"/>
    <s v="Check out our latest text on twitter!"/>
    <n v="4516"/>
    <n v="836"/>
    <n v="169"/>
    <n v="49676"/>
    <n v="49257"/>
    <n v="282"/>
    <s v="#ThirstyForMore"/>
    <s v="DailyWellness"/>
    <n v="0.11114018842096787"/>
    <s v="Hashtag 1"/>
    <x v="4"/>
  </r>
  <r>
    <s v="P279"/>
    <x v="1"/>
    <d v="2024-09-02T00:00:00"/>
    <x v="4"/>
    <s v="Check out our latest image on youtube!"/>
    <n v="4905"/>
    <n v="845"/>
    <n v="129"/>
    <n v="98100"/>
    <n v="97772"/>
    <n v="279"/>
    <s v="#PepsiCoRefresh"/>
    <s v="FestiveRadiance"/>
    <n v="5.9928644240570844E-2"/>
    <s v="Hashtag 1"/>
    <x v="2"/>
  </r>
  <r>
    <s v="P280"/>
    <x v="1"/>
    <d v="2024-10-21T00:00:00"/>
    <x v="5"/>
    <s v="Check out our latest video on youtube!"/>
    <n v="4275"/>
    <n v="680"/>
    <n v="385"/>
    <n v="64125"/>
    <n v="63650"/>
    <n v="104"/>
    <s v="#ThirstyForMore,#PepsiCoRefresh,#AnytimeIsPepsiTime"/>
    <s v="DailyWellness"/>
    <n v="8.3274853801169585E-2"/>
    <s v="Hashtag 1"/>
    <x v="4"/>
  </r>
  <r>
    <s v="P280"/>
    <x v="1"/>
    <d v="2024-10-21T00:00:00"/>
    <x v="5"/>
    <s v="Check out our latest video on youtube!"/>
    <n v="4275"/>
    <n v="680"/>
    <n v="385"/>
    <n v="64125"/>
    <n v="63650"/>
    <n v="104"/>
    <s v="#ThirstyForMore,#PepsiCoRefresh,#AnytimeIsPepsiTime"/>
    <s v="DailyWellness"/>
    <n v="8.3274853801169585E-2"/>
    <s v="Hashtag 2"/>
    <x v="2"/>
  </r>
  <r>
    <s v="P280"/>
    <x v="1"/>
    <d v="2024-10-21T00:00:00"/>
    <x v="5"/>
    <s v="Check out our latest video on youtube!"/>
    <n v="4275"/>
    <n v="680"/>
    <n v="385"/>
    <n v="64125"/>
    <n v="63650"/>
    <n v="104"/>
    <s v="#ThirstyForMore,#PepsiCoRefresh,#AnytimeIsPepsiTime"/>
    <s v="DailyWellness"/>
    <n v="8.3274853801169585E-2"/>
    <s v="Hashtag 3"/>
    <x v="1"/>
  </r>
  <r>
    <s v="P281"/>
    <x v="1"/>
    <d v="2025-03-22T00:00:00"/>
    <x v="4"/>
    <s v="Check out our latest image on youtube!"/>
    <n v="3166"/>
    <n v="90"/>
    <n v="341"/>
    <n v="56988"/>
    <n v="56125"/>
    <n v="135"/>
    <s v="#ThirstyForMore"/>
    <s v="FestiveRadiance"/>
    <n v="6.3118551273952411E-2"/>
    <s v="Hashtag 1"/>
    <x v="4"/>
  </r>
  <r>
    <s v="P282"/>
    <x v="2"/>
    <d v="2024-10-03T00:00:00"/>
    <x v="5"/>
    <s v="Check out our latest video on instagram!"/>
    <n v="1488"/>
    <n v="417"/>
    <n v="168"/>
    <n v="19344"/>
    <n v="18395"/>
    <n v="30"/>
    <s v="#LiveForNow"/>
    <s v="NewYearRefresh"/>
    <n v="0.1071650124069479"/>
    <s v="Hashtag 1"/>
    <x v="0"/>
  </r>
  <r>
    <s v="P283"/>
    <x v="0"/>
    <d v="2025-05-09T00:00:00"/>
    <x v="0"/>
    <s v="Check out our latest reel on twitter!"/>
    <n v="3367"/>
    <n v="302"/>
    <n v="57"/>
    <n v="63973"/>
    <n v="63789"/>
    <n v="157"/>
    <s v="#LiveForNow"/>
    <s v="FestiveRadiance"/>
    <n v="5.8243321401216137E-2"/>
    <s v="Hashtag 1"/>
    <x v="0"/>
  </r>
  <r>
    <s v="P284"/>
    <x v="0"/>
    <d v="2024-09-17T00:00:00"/>
    <x v="1"/>
    <s v="Check out our latest text on twitter!"/>
    <n v="571"/>
    <n v="190"/>
    <n v="352"/>
    <n v="9707"/>
    <n v="9418"/>
    <n v="231"/>
    <s v="#PepsiCoRefresh"/>
    <s v="DailyWellness"/>
    <n v="0.11465952405480581"/>
    <s v="Hashtag 1"/>
    <x v="2"/>
  </r>
  <r>
    <s v="P285"/>
    <x v="1"/>
    <d v="2024-07-18T00:00:00"/>
    <x v="1"/>
    <s v="Check out our latest text on youtube!"/>
    <n v="4021"/>
    <n v="794"/>
    <n v="77"/>
    <n v="36189"/>
    <n v="35505"/>
    <n v="174"/>
    <s v="#ThirstyForMore"/>
    <s v="Unassigned"/>
    <n v="0.13517919809886983"/>
    <s v="Hashtag 1"/>
    <x v="4"/>
  </r>
  <r>
    <s v="P286"/>
    <x v="1"/>
    <d v="2024-09-25T00:00:00"/>
    <x v="5"/>
    <s v="Check out our latest video on youtube!"/>
    <n v="3389"/>
    <n v="344"/>
    <n v="229"/>
    <n v="20334"/>
    <n v="19443"/>
    <n v="228"/>
    <s v="#LiveForNow"/>
    <s v="NewYearRefresh"/>
    <n v="0.19484607062063539"/>
    <s v="Hashtag 1"/>
    <x v="0"/>
  </r>
  <r>
    <s v="P287"/>
    <x v="2"/>
    <d v="2024-08-15T00:00:00"/>
    <x v="0"/>
    <s v="Check out our latest reel on instagram!"/>
    <n v="1164"/>
    <n v="616"/>
    <n v="324"/>
    <n v="6984"/>
    <n v="6636"/>
    <n v="82"/>
    <s v="#ThirstyForMore"/>
    <s v="SummerSplash"/>
    <n v="0.30126002290950743"/>
    <s v="Hashtag 1"/>
    <x v="4"/>
  </r>
  <r>
    <s v="P288"/>
    <x v="1"/>
    <d v="2025-04-17T00:00:00"/>
    <x v="3"/>
    <s v="Check out our latest carousel on youtube!"/>
    <n v="4780"/>
    <n v="691"/>
    <n v="380"/>
    <n v="86040"/>
    <n v="85743"/>
    <n v="262"/>
    <s v="#LiveForNow"/>
    <s v="NewYearRefresh"/>
    <n v="6.800325430032543E-2"/>
    <s v="Hashtag 1"/>
    <x v="0"/>
  </r>
  <r>
    <s v="P289"/>
    <x v="3"/>
    <d v="2024-11-28T00:00:00"/>
    <x v="3"/>
    <s v="Check out our latest carousel on facebook!"/>
    <n v="2751"/>
    <n v="33"/>
    <n v="430"/>
    <n v="44016"/>
    <n v="43415"/>
    <n v="129"/>
    <s v="#LiveForNow"/>
    <s v="Unassigned"/>
    <n v="7.3018902217375503E-2"/>
    <s v="Hashtag 1"/>
    <x v="0"/>
  </r>
  <r>
    <s v="P290"/>
    <x v="2"/>
    <d v="2024-12-20T00:00:00"/>
    <x v="3"/>
    <s v="Check out our latest carousel on instagram!"/>
    <n v="2107"/>
    <n v="550"/>
    <n v="349"/>
    <n v="35819"/>
    <n v="35340"/>
    <n v="191"/>
    <s v="#ThirstyForMore"/>
    <s v="DailyWellness"/>
    <n v="8.3921940869371006E-2"/>
    <s v="Hashtag 1"/>
    <x v="4"/>
  </r>
  <r>
    <s v="P291"/>
    <x v="3"/>
    <d v="2024-11-06T00:00:00"/>
    <x v="5"/>
    <s v="Check out our latest video on facebook!"/>
    <n v="4663"/>
    <n v="145"/>
    <n v="225"/>
    <n v="69945"/>
    <n v="69596"/>
    <n v="35"/>
    <s v="#ThirstyForMore"/>
    <s v="DailyWellness"/>
    <n v="7.1956537279290869E-2"/>
    <s v="Hashtag 1"/>
    <x v="4"/>
  </r>
  <r>
    <s v="P292"/>
    <x v="3"/>
    <d v="2024-11-17T00:00:00"/>
    <x v="1"/>
    <s v="Check out our latest text on facebook!"/>
    <n v="880"/>
    <n v="297"/>
    <n v="345"/>
    <n v="12320"/>
    <n v="11978"/>
    <n v="238"/>
    <s v="#PepsiCoRefresh,#AnytimeIsPepsiTime"/>
    <s v="Unassigned"/>
    <n v="0.12353896103896105"/>
    <s v="Hashtag 1"/>
    <x v="2"/>
  </r>
  <r>
    <s v="P292"/>
    <x v="3"/>
    <d v="2024-11-17T00:00:00"/>
    <x v="1"/>
    <s v="Check out our latest text on facebook!"/>
    <n v="880"/>
    <n v="297"/>
    <n v="345"/>
    <n v="12320"/>
    <n v="11978"/>
    <n v="238"/>
    <s v="#PepsiCoRefresh,#AnytimeIsPepsiTime"/>
    <s v="Unassigned"/>
    <n v="0.12353896103896105"/>
    <s v="Hashtag 2"/>
    <x v="1"/>
  </r>
  <r>
    <s v="P293"/>
    <x v="3"/>
    <d v="2025-05-14T00:00:00"/>
    <x v="1"/>
    <s v="Check out our latest text on facebook!"/>
    <n v="2634"/>
    <n v="726"/>
    <n v="241"/>
    <n v="28974"/>
    <n v="28102"/>
    <n v="277"/>
    <s v="#ThirstyForMore"/>
    <s v="SummerSplash"/>
    <n v="0.12428384068475185"/>
    <s v="Hashtag 1"/>
    <x v="4"/>
  </r>
  <r>
    <s v="P294"/>
    <x v="3"/>
    <d v="2024-06-19T00:00:00"/>
    <x v="3"/>
    <s v="Check out our latest carousel on facebook!"/>
    <n v="4731"/>
    <n v="173"/>
    <n v="276"/>
    <n v="28386"/>
    <n v="28185"/>
    <n v="89"/>
    <s v="#ThirstyForMore"/>
    <s v="NewYearRefresh"/>
    <n v="0.18248432325794406"/>
    <s v="Hashtag 1"/>
    <x v="4"/>
  </r>
  <r>
    <s v="P295"/>
    <x v="0"/>
    <d v="2025-05-06T00:00:00"/>
    <x v="4"/>
    <s v="Check out our latest image on twitter!"/>
    <n v="1952"/>
    <n v="344"/>
    <n v="287"/>
    <n v="15616"/>
    <n v="15403"/>
    <n v="235"/>
    <s v="#LiveForNow,#PepsiCoRefresh,#AnytimeIsPepsiTime"/>
    <s v="FestiveRadiance"/>
    <n v="0.16540727459016394"/>
    <s v="Hashtag 1"/>
    <x v="0"/>
  </r>
  <r>
    <s v="P295"/>
    <x v="0"/>
    <d v="2025-05-06T00:00:00"/>
    <x v="4"/>
    <s v="Check out our latest image on twitter!"/>
    <n v="1952"/>
    <n v="344"/>
    <n v="287"/>
    <n v="15616"/>
    <n v="15403"/>
    <n v="235"/>
    <s v="#LiveForNow,#PepsiCoRefresh,#AnytimeIsPepsiTime"/>
    <s v="FestiveRadiance"/>
    <n v="0.16540727459016394"/>
    <s v="Hashtag 2"/>
    <x v="2"/>
  </r>
  <r>
    <s v="P295"/>
    <x v="0"/>
    <d v="2025-05-06T00:00:00"/>
    <x v="4"/>
    <s v="Check out our latest image on twitter!"/>
    <n v="1952"/>
    <n v="344"/>
    <n v="287"/>
    <n v="15616"/>
    <n v="15403"/>
    <n v="235"/>
    <s v="#LiveForNow,#PepsiCoRefresh,#AnytimeIsPepsiTime"/>
    <s v="FestiveRadiance"/>
    <n v="0.16540727459016394"/>
    <s v="Hashtag 3"/>
    <x v="1"/>
  </r>
  <r>
    <s v="P296"/>
    <x v="0"/>
    <d v="2025-02-11T00:00:00"/>
    <x v="5"/>
    <s v="Check out our latest video on twitter!"/>
    <n v="3440"/>
    <n v="13"/>
    <n v="20"/>
    <n v="58480"/>
    <n v="58146"/>
    <n v="210"/>
    <s v="#PepsiCoRefresh,#SmoothLikeNitroPepsi"/>
    <s v="DailyWellness"/>
    <n v="5.9387824897400819E-2"/>
    <s v="Hashtag 1"/>
    <x v="2"/>
  </r>
  <r>
    <s v="P296"/>
    <x v="0"/>
    <d v="2025-02-11T00:00:00"/>
    <x v="5"/>
    <s v="Check out our latest video on twitter!"/>
    <n v="3440"/>
    <n v="13"/>
    <n v="20"/>
    <n v="58480"/>
    <n v="58146"/>
    <n v="210"/>
    <s v="#PepsiCoRefresh,#SmoothLikeNitroPepsi"/>
    <s v="DailyWellness"/>
    <n v="5.9387824897400819E-2"/>
    <s v="Hashtag 2"/>
    <x v="5"/>
  </r>
  <r>
    <s v="P297"/>
    <x v="0"/>
    <d v="2024-12-24T00:00:00"/>
    <x v="1"/>
    <s v="Check out our latest text on twitter!"/>
    <n v="2166"/>
    <n v="354"/>
    <n v="117"/>
    <n v="10830"/>
    <n v="10245"/>
    <n v="24"/>
    <s v="#ThirstyForMore"/>
    <s v="DailyWellness"/>
    <n v="0.24349030470914126"/>
    <s v="Hashtag 1"/>
    <x v="4"/>
  </r>
  <r>
    <s v="P298"/>
    <x v="3"/>
    <d v="2024-10-24T00:00:00"/>
    <x v="4"/>
    <s v="Check out our latest image on facebook!"/>
    <n v="4303"/>
    <n v="451"/>
    <n v="286"/>
    <n v="86060"/>
    <n v="85823"/>
    <n v="14"/>
    <s v="#PepsiCoRefresh"/>
    <s v="NewYearRefresh"/>
    <n v="5.8563792702765516E-2"/>
    <s v="Hashtag 1"/>
    <x v="2"/>
  </r>
  <r>
    <s v="P299"/>
    <x v="3"/>
    <d v="2024-08-26T00:00:00"/>
    <x v="4"/>
    <s v="Check out our latest image on facebook!"/>
    <n v="2581"/>
    <n v="517"/>
    <n v="117"/>
    <n v="23229"/>
    <n v="22331"/>
    <n v="70"/>
    <s v="#LiveForNow"/>
    <s v="NewYearRefresh"/>
    <n v="0.13840458048129492"/>
    <s v="Hashtag 1"/>
    <x v="0"/>
  </r>
  <r>
    <s v="P300"/>
    <x v="0"/>
    <d v="2024-08-31T00:00:00"/>
    <x v="3"/>
    <s v="Check out our latest carousel on twitter!"/>
    <n v="4494"/>
    <n v="717"/>
    <n v="45"/>
    <n v="62916"/>
    <n v="62688"/>
    <n v="191"/>
    <s v="#PepsiCoRefresh,#ThirstyForMore,#BetterWithPepsi"/>
    <s v="SummerSplash"/>
    <n v="8.3539958039290485E-2"/>
    <s v="Hashtag 1"/>
    <x v="2"/>
  </r>
  <r>
    <s v="P300"/>
    <x v="0"/>
    <d v="2024-08-31T00:00:00"/>
    <x v="3"/>
    <s v="Check out our latest carousel on twitter!"/>
    <n v="4494"/>
    <n v="717"/>
    <n v="45"/>
    <n v="62916"/>
    <n v="62688"/>
    <n v="191"/>
    <s v="#PepsiCoRefresh,#ThirstyForMore,#BetterWithPepsi"/>
    <s v="SummerSplash"/>
    <n v="8.3539958039290485E-2"/>
    <s v="Hashtag 2"/>
    <x v="4"/>
  </r>
  <r>
    <s v="P300"/>
    <x v="0"/>
    <d v="2024-08-31T00:00:00"/>
    <x v="3"/>
    <s v="Check out our latest carousel on twitter!"/>
    <n v="4494"/>
    <n v="717"/>
    <n v="45"/>
    <n v="62916"/>
    <n v="62688"/>
    <n v="191"/>
    <s v="#PepsiCoRefresh,#ThirstyForMore,#BetterWithPepsi"/>
    <s v="SummerSplash"/>
    <n v="8.3539958039290485E-2"/>
    <s v="Hashtag 3"/>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d v="2024-12-23T00:00:00"/>
    <s v="Reel"/>
    <s v="Check out our latest reel on twitter!"/>
    <n v="1461"/>
    <n v="184"/>
    <n v="344"/>
    <n v="21915"/>
    <n v="21675"/>
    <n v="15"/>
    <n v="1989"/>
    <s v="#LiveForNow,#AnytimeIsPepsiTime"/>
    <s v="#LiveForNow"/>
    <s v="#AnytimeIsPepsiTime"/>
    <m/>
    <s v="SummerSplash"/>
    <n v="9.0759753593429152E-2"/>
  </r>
  <r>
    <s v="P002"/>
    <x v="0"/>
    <d v="2025-04-03T00:00:00"/>
    <s v="Text"/>
    <s v="Check out our latest text on twitter!"/>
    <n v="4054"/>
    <n v="389"/>
    <n v="493"/>
    <n v="64864"/>
    <n v="64383"/>
    <n v="117"/>
    <n v="4936"/>
    <s v="#PepsiCoRefresh,#BetterWithPepsi"/>
    <s v="#PepsiCoRefresh"/>
    <s v="#BetterWithPepsi"/>
    <m/>
    <s v="FestiveRadiance"/>
    <n v="7.6097681302417369E-2"/>
  </r>
  <r>
    <s v="P003"/>
    <x v="1"/>
    <d v="2025-05-12T00:00:00"/>
    <s v="Reel"/>
    <s v="Check out our latest reel on youtube!"/>
    <n v="2795"/>
    <n v="105"/>
    <n v="49"/>
    <n v="53105"/>
    <n v="52307"/>
    <n v="204"/>
    <n v="2949"/>
    <s v="#PepsiCoRefresh"/>
    <s v="#PepsiCoRefresh"/>
    <m/>
    <m/>
    <s v="NewYearRefresh"/>
    <n v="5.5531494209584788E-2"/>
  </r>
  <r>
    <s v="P004"/>
    <x v="2"/>
    <d v="2024-08-12T00:00:00"/>
    <s v="Story"/>
    <s v="Check out our latest story on instagram!"/>
    <n v="2404"/>
    <n v="363"/>
    <n v="138"/>
    <n v="19232"/>
    <n v="18636"/>
    <n v="128"/>
    <n v="2905"/>
    <s v="#ThirstyForMore"/>
    <s v="#ThirstyForMore"/>
    <m/>
    <m/>
    <s v="DailyWellness"/>
    <n v="0.15105033277870217"/>
  </r>
  <r>
    <s v="P005"/>
    <x v="1"/>
    <d v="2024-06-26T00:00:00"/>
    <s v="Reel"/>
    <s v="Check out our latest reel on youtube!"/>
    <n v="3557"/>
    <n v="687"/>
    <n v="424"/>
    <n v="71140"/>
    <n v="70701"/>
    <n v="224"/>
    <n v="4668"/>
    <s v="#ThirstyForMore,#PepsiCoRefresh"/>
    <s v="#ThirstyForMore"/>
    <s v="#PepsiCoRefresh"/>
    <m/>
    <s v="SummerSplash"/>
    <n v="6.5617093055946027E-2"/>
  </r>
  <r>
    <s v="P006"/>
    <x v="3"/>
    <d v="2024-10-31T00:00:00"/>
    <s v="Carousel"/>
    <s v="Check out our latest carousel on facebook!"/>
    <n v="2945"/>
    <n v="930"/>
    <n v="355"/>
    <n v="23560"/>
    <n v="23275"/>
    <n v="256"/>
    <n v="4230"/>
    <s v="#PepsiCoRefresh"/>
    <s v="#PepsiCoRefresh"/>
    <m/>
    <m/>
    <s v="FestiveRadiance"/>
    <n v="0.17954159592529711"/>
  </r>
  <r>
    <s v="P007"/>
    <x v="0"/>
    <d v="2024-06-24T00:00:00"/>
    <s v="Carousel"/>
    <s v="Check out our latest carousel on twitter!"/>
    <n v="3860"/>
    <n v="201"/>
    <n v="279"/>
    <n v="61760"/>
    <n v="61660"/>
    <n v="235"/>
    <n v="4340"/>
    <s v="#PepsiCoRefresh"/>
    <s v="#PepsiCoRefresh"/>
    <m/>
    <m/>
    <s v="FestiveRadiance"/>
    <n v="7.0272020725388601E-2"/>
  </r>
  <r>
    <s v="P008"/>
    <x v="1"/>
    <d v="2024-07-13T00:00:00"/>
    <s v="Image"/>
    <s v="Check out our latest image on youtube!"/>
    <n v="3929"/>
    <n v="262"/>
    <n v="278"/>
    <n v="43219"/>
    <n v="42841"/>
    <n v="39"/>
    <n v="4469"/>
    <s v="#ThirstyForMore"/>
    <s v="#ThirstyForMore"/>
    <m/>
    <m/>
    <s v="DailyWellness"/>
    <n v="0.10340359564080613"/>
  </r>
  <r>
    <s v="P009"/>
    <x v="3"/>
    <d v="2024-08-30T00:00:00"/>
    <s v="Text"/>
    <s v="Check out our latest text on facebook!"/>
    <n v="3784"/>
    <n v="808"/>
    <n v="404"/>
    <n v="56760"/>
    <n v="56343"/>
    <n v="131"/>
    <n v="4996"/>
    <s v="#PepsiCoRefresh"/>
    <s v="#PepsiCoRefresh"/>
    <m/>
    <m/>
    <s v="FestiveRadiance"/>
    <n v="8.8019732205778717E-2"/>
  </r>
  <r>
    <s v="P010"/>
    <x v="3"/>
    <d v="2025-03-11T00:00:00"/>
    <s v="Image"/>
    <s v="Check out our latest image on facebook!"/>
    <n v="4241"/>
    <n v="902"/>
    <n v="47"/>
    <n v="72097"/>
    <n v="71598"/>
    <n v="167"/>
    <n v="5190"/>
    <s v="#PepsiCoRefresh"/>
    <s v="#PepsiCoRefresh"/>
    <m/>
    <m/>
    <s v="FestiveRadiance"/>
    <n v="7.198635172059864E-2"/>
  </r>
  <r>
    <s v="P011"/>
    <x v="2"/>
    <d v="2025-02-02T00:00:00"/>
    <s v="Story"/>
    <s v="Check out our latest story on instagram!"/>
    <n v="1792"/>
    <n v="614"/>
    <n v="497"/>
    <n v="25088"/>
    <n v="24675"/>
    <n v="65"/>
    <n v="2903"/>
    <s v="#LiveForNow"/>
    <s v="#LiveForNow"/>
    <m/>
    <m/>
    <s v="DailyWellness"/>
    <n v="0.11571269132653061"/>
  </r>
  <r>
    <s v="P012"/>
    <x v="3"/>
    <d v="2024-07-21T00:00:00"/>
    <s v="Reel"/>
    <s v="Check out our latest reel on facebook!"/>
    <n v="1946"/>
    <n v="686"/>
    <n v="377"/>
    <n v="23352"/>
    <n v="22982"/>
    <n v="213"/>
    <n v="3009"/>
    <s v="#LiveForNow"/>
    <s v="#LiveForNow"/>
    <m/>
    <m/>
    <s v="NewYearRefresh"/>
    <n v="0.12885405960945528"/>
  </r>
  <r>
    <s v="P013"/>
    <x v="1"/>
    <d v="2024-11-18T00:00:00"/>
    <s v="Carousel"/>
    <s v="Check out our latest carousel on youtube!"/>
    <n v="1171"/>
    <n v="286"/>
    <n v="231"/>
    <n v="22249"/>
    <n v="21282"/>
    <n v="114"/>
    <n v="1688"/>
    <s v="#ThirstyForMore"/>
    <s v="#ThirstyForMore"/>
    <m/>
    <m/>
    <s v="SummerSplash"/>
    <n v="7.5868578363072495E-2"/>
  </r>
  <r>
    <s v="P014"/>
    <x v="3"/>
    <d v="2025-02-16T00:00:00"/>
    <s v="Story"/>
    <s v="Check out our latest story on facebook!"/>
    <n v="4242"/>
    <n v="555"/>
    <n v="131"/>
    <n v="33936"/>
    <n v="33802"/>
    <n v="265"/>
    <n v="4928"/>
    <s v="#LiveForNow"/>
    <s v="#LiveForNow"/>
    <m/>
    <m/>
    <s v="Unassigned"/>
    <n v="0.14521452145214522"/>
  </r>
  <r>
    <s v="P015"/>
    <x v="3"/>
    <d v="2024-10-24T00:00:00"/>
    <s v="Video"/>
    <s v="Check out our latest video on facebook!"/>
    <n v="3888"/>
    <n v="604"/>
    <n v="128"/>
    <n v="77760"/>
    <n v="77167"/>
    <n v="20"/>
    <n v="4620"/>
    <s v="#LiveForNow"/>
    <s v="#LiveForNow"/>
    <m/>
    <m/>
    <s v="SummerSplash"/>
    <n v="5.941358024691358E-2"/>
  </r>
  <r>
    <s v="P016"/>
    <x v="3"/>
    <d v="2024-08-26T00:00:00"/>
    <s v="Text"/>
    <s v="Check out our latest text on facebook!"/>
    <n v="3452"/>
    <n v="377"/>
    <n v="360"/>
    <n v="55232"/>
    <n v="55075"/>
    <n v="87"/>
    <n v="4189"/>
    <s v="#LiveForNow"/>
    <s v="#LiveForNow"/>
    <m/>
    <m/>
    <s v="NewYearRefresh"/>
    <n v="7.5843713789107758E-2"/>
  </r>
  <r>
    <s v="P017"/>
    <x v="3"/>
    <d v="2025-05-05T00:00:00"/>
    <s v="Text"/>
    <s v="Check out our latest text on facebook!"/>
    <n v="4441"/>
    <n v="511"/>
    <n v="70"/>
    <n v="53292"/>
    <n v="53082"/>
    <n v="159"/>
    <n v="5022"/>
    <s v="#ThirstyForMore"/>
    <s v="#ThirstyForMore"/>
    <m/>
    <m/>
    <s v="DailyWellness"/>
    <n v="9.4235532537716729E-2"/>
  </r>
  <r>
    <s v="P018"/>
    <x v="2"/>
    <d v="2024-08-19T00:00:00"/>
    <s v="Reel"/>
    <s v="Check out our latest reel on instagram!"/>
    <n v="3000"/>
    <n v="382"/>
    <n v="325"/>
    <n v="36000"/>
    <n v="35819"/>
    <n v="19"/>
    <n v="3707"/>
    <s v="#LiveForNow"/>
    <s v="#LiveForNow"/>
    <m/>
    <m/>
    <s v="SummerSplash"/>
    <n v="0.10297222222222223"/>
  </r>
  <r>
    <s v="P019"/>
    <x v="2"/>
    <d v="2024-06-23T00:00:00"/>
    <s v="Video"/>
    <s v="Check out our latest video on instagram!"/>
    <n v="1071"/>
    <n v="519"/>
    <n v="22"/>
    <n v="16065"/>
    <n v="15865"/>
    <n v="103"/>
    <n v="1612"/>
    <s v="#PepsiCoRefresh"/>
    <s v="#PepsiCoRefresh"/>
    <m/>
    <m/>
    <s v="DailyWellness"/>
    <n v="0.10034235916588857"/>
  </r>
  <r>
    <s v="P020"/>
    <x v="2"/>
    <d v="2024-09-09T00:00:00"/>
    <s v="Carousel"/>
    <s v="Check out our latest carousel on instagram!"/>
    <n v="4054"/>
    <n v="488"/>
    <n v="373"/>
    <n v="77026"/>
    <n v="76881"/>
    <n v="25"/>
    <n v="4915"/>
    <s v="#PepsiCoRefresh"/>
    <s v="#PepsiCoRefresh"/>
    <m/>
    <m/>
    <s v="SummerSplash"/>
    <n v="6.3809622724794221E-2"/>
  </r>
  <r>
    <s v="P021"/>
    <x v="2"/>
    <d v="2025-01-04T00:00:00"/>
    <s v="Reel"/>
    <s v="Check out our latest reel on instagram!"/>
    <n v="4838"/>
    <n v="640"/>
    <n v="128"/>
    <n v="72570"/>
    <n v="72396"/>
    <n v="83"/>
    <n v="5606"/>
    <s v="#LiveForNow"/>
    <s v="#LiveForNow"/>
    <m/>
    <m/>
    <s v="DailyWellness"/>
    <n v="7.7249552156538517E-2"/>
  </r>
  <r>
    <s v="P022"/>
    <x v="3"/>
    <d v="2025-02-27T00:00:00"/>
    <s v="Text"/>
    <s v="Check out our latest text on facebook!"/>
    <n v="1570"/>
    <n v="187"/>
    <n v="260"/>
    <n v="25120"/>
    <n v="24613"/>
    <n v="133"/>
    <n v="2017"/>
    <s v="#PepsiCoRefresh"/>
    <s v="#PepsiCoRefresh"/>
    <m/>
    <m/>
    <s v="DailyWellness"/>
    <n v="8.0294585987261149E-2"/>
  </r>
  <r>
    <s v="P023"/>
    <x v="3"/>
    <d v="2024-11-06T00:00:00"/>
    <s v="Video"/>
    <s v="Check out our latest video on facebook!"/>
    <n v="1606"/>
    <n v="547"/>
    <n v="316"/>
    <n v="32120"/>
    <n v="31736"/>
    <n v="225"/>
    <n v="2469"/>
    <s v="#PepsiCoRefresh,#AnytimeIsPepsiTime"/>
    <s v="#PepsiCoRefresh"/>
    <s v="#AnytimeIsPepsiTime"/>
    <m/>
    <s v="FestiveRadiance"/>
    <n v="7.6867995018679955E-2"/>
  </r>
  <r>
    <s v="P024"/>
    <x v="3"/>
    <d v="2025-01-23T00:00:00"/>
    <s v="Video"/>
    <s v="Check out our latest video on facebook!"/>
    <n v="3961"/>
    <n v="761"/>
    <n v="131"/>
    <n v="67337"/>
    <n v="66615"/>
    <n v="161"/>
    <n v="4853"/>
    <s v="#LiveForNow"/>
    <s v="#LiveForNow"/>
    <m/>
    <m/>
    <s v="NewYearRefresh"/>
    <n v="7.2070332803659209E-2"/>
  </r>
  <r>
    <s v="P025"/>
    <x v="0"/>
    <d v="2025-04-10T00:00:00"/>
    <s v="Carousel"/>
    <s v="Check out our latest carousel on twitter!"/>
    <n v="3128"/>
    <n v="211"/>
    <n v="197"/>
    <n v="59432"/>
    <n v="59182"/>
    <n v="238"/>
    <n v="3536"/>
    <s v="#ThirstyForMore"/>
    <s v="#ThirstyForMore"/>
    <m/>
    <m/>
    <s v="Unassigned"/>
    <n v="5.9496567505720827E-2"/>
  </r>
  <r>
    <s v="P026"/>
    <x v="1"/>
    <d v="2025-04-05T00:00:00"/>
    <s v="Reel"/>
    <s v="Check out our latest reel on youtube!"/>
    <n v="3009"/>
    <n v="413"/>
    <n v="358"/>
    <n v="42126"/>
    <n v="41309"/>
    <n v="211"/>
    <n v="3780"/>
    <s v="#LiveForNow"/>
    <s v="#LiveForNow"/>
    <m/>
    <m/>
    <s v="FestiveRadiance"/>
    <n v="8.9730807577268201E-2"/>
  </r>
  <r>
    <s v="P027"/>
    <x v="1"/>
    <d v="2024-09-17T00:00:00"/>
    <s v="Text"/>
    <s v="Check out our latest text on youtube!"/>
    <n v="2076"/>
    <n v="195"/>
    <n v="104"/>
    <n v="33216"/>
    <n v="32244"/>
    <n v="51"/>
    <n v="2375"/>
    <s v="#LiveForNow"/>
    <s v="#LiveForNow"/>
    <m/>
    <m/>
    <s v="DailyWellness"/>
    <n v="7.1501685934489398E-2"/>
  </r>
  <r>
    <s v="P028"/>
    <x v="2"/>
    <d v="2025-03-04T00:00:00"/>
    <s v="Video"/>
    <s v="Check out our latest video on instagram!"/>
    <n v="432"/>
    <n v="624"/>
    <n v="123"/>
    <n v="6912"/>
    <n v="6259"/>
    <n v="79"/>
    <n v="1179"/>
    <s v="#LiveForNow"/>
    <s v="#LiveForNow"/>
    <m/>
    <m/>
    <s v="DailyWellness"/>
    <n v="0.17057291666666666"/>
  </r>
  <r>
    <s v="P029"/>
    <x v="2"/>
    <d v="2025-01-31T00:00:00"/>
    <s v="Carousel"/>
    <s v="Check out our latest carousel on instagram!"/>
    <n v="2566"/>
    <n v="118"/>
    <n v="37"/>
    <n v="12830"/>
    <n v="12264"/>
    <n v="221"/>
    <n v="2721"/>
    <s v="#LiveForNow"/>
    <s v="#LiveForNow"/>
    <m/>
    <m/>
    <s v="NewYearRefresh"/>
    <n v="0.21208106001558846"/>
  </r>
  <r>
    <s v="P030"/>
    <x v="2"/>
    <d v="2025-02-25T00:00:00"/>
    <s v="Video"/>
    <s v="Check out our latest video on instagram!"/>
    <n v="3095"/>
    <n v="39"/>
    <n v="78"/>
    <n v="55710"/>
    <n v="54808"/>
    <n v="93"/>
    <n v="3212"/>
    <s v="#ThirstyForMore"/>
    <s v="#ThirstyForMore"/>
    <m/>
    <m/>
    <s v="Unassigned"/>
    <n v="5.7655717106444085E-2"/>
  </r>
  <r>
    <s v="P031"/>
    <x v="2"/>
    <d v="2024-12-16T00:00:00"/>
    <s v="Text"/>
    <s v="Check out our latest text on instagram!"/>
    <n v="438"/>
    <n v="153"/>
    <n v="275"/>
    <n v="3066"/>
    <n v="2701"/>
    <n v="282"/>
    <n v="866"/>
    <s v="#PepsiCoRefresh"/>
    <s v="#PepsiCoRefresh"/>
    <m/>
    <m/>
    <s v="FestiveRadiance"/>
    <n v="0.28245270711024134"/>
  </r>
  <r>
    <s v="P032"/>
    <x v="0"/>
    <d v="2024-07-31T00:00:00"/>
    <s v="Carousel"/>
    <s v="Check out our latest carousel on twitter!"/>
    <n v="2278"/>
    <n v="10"/>
    <n v="321"/>
    <n v="13668"/>
    <n v="12676"/>
    <n v="275"/>
    <n v="2609"/>
    <s v="#ThirstyForMore"/>
    <s v="#ThirstyForMore"/>
    <m/>
    <m/>
    <s v="SummerSplash"/>
    <n v="0.19088381621305239"/>
  </r>
  <r>
    <s v="P033"/>
    <x v="3"/>
    <d v="2024-08-21T00:00:00"/>
    <s v="Image"/>
    <s v="Check out our latest image on facebook!"/>
    <n v="1407"/>
    <n v="400"/>
    <n v="351"/>
    <n v="16884"/>
    <n v="15954"/>
    <n v="113"/>
    <n v="2158"/>
    <s v="#PepsiCoRefresh"/>
    <s v="#PepsiCoRefresh"/>
    <m/>
    <m/>
    <s v="SummerSplash"/>
    <n v="0.12781331438047855"/>
  </r>
  <r>
    <s v="P034"/>
    <x v="3"/>
    <d v="2025-03-26T00:00:00"/>
    <s v="Text"/>
    <s v="Check out our latest text on facebook!"/>
    <n v="1652"/>
    <n v="89"/>
    <n v="357"/>
    <n v="29736"/>
    <n v="28771"/>
    <n v="215"/>
    <n v="2098"/>
    <s v="#PepsiCoRefresh"/>
    <s v="#PepsiCoRefresh"/>
    <m/>
    <m/>
    <s v="NewYearRefresh"/>
    <n v="7.055421038471886E-2"/>
  </r>
  <r>
    <s v="P035"/>
    <x v="2"/>
    <d v="2024-11-30T00:00:00"/>
    <s v="Video"/>
    <s v="Check out our latest video on instagram!"/>
    <n v="3775"/>
    <n v="16"/>
    <n v="239"/>
    <n v="33975"/>
    <n v="33310"/>
    <n v="271"/>
    <n v="4030"/>
    <s v="#LiveForNow"/>
    <s v="#LiveForNow"/>
    <m/>
    <m/>
    <s v="FestiveRadiance"/>
    <n v="0.11861662987490802"/>
  </r>
  <r>
    <s v="P036"/>
    <x v="2"/>
    <d v="2025-04-19T00:00:00"/>
    <s v="Story"/>
    <s v="Check out our latest story on instagram!"/>
    <n v="4518"/>
    <n v="285"/>
    <n v="383"/>
    <n v="67770"/>
    <n v="67621"/>
    <n v="31"/>
    <n v="5186"/>
    <s v="#ThirstyForMore"/>
    <s v="#ThirstyForMore"/>
    <m/>
    <m/>
    <s v="FestiveRadiance"/>
    <n v="7.6523535487678915E-2"/>
  </r>
  <r>
    <s v="P037"/>
    <x v="3"/>
    <d v="2025-01-06T00:00:00"/>
    <s v="Carousel"/>
    <s v="Check out our latest carousel on facebook!"/>
    <n v="3024"/>
    <n v="925"/>
    <n v="350"/>
    <n v="24192"/>
    <n v="23518"/>
    <n v="36"/>
    <n v="4299"/>
    <s v="#ThirstyForMore"/>
    <s v="#ThirstyForMore"/>
    <m/>
    <m/>
    <s v="FestiveRadiance"/>
    <n v="0.17770337301587302"/>
  </r>
  <r>
    <s v="P038"/>
    <x v="1"/>
    <d v="2025-02-17T00:00:00"/>
    <s v="Reel"/>
    <s v="Check out our latest reel on youtube!"/>
    <n v="3138"/>
    <n v="123"/>
    <n v="291"/>
    <n v="28242"/>
    <n v="27550"/>
    <n v="87"/>
    <n v="3552"/>
    <s v="#PepsiCoRefresh"/>
    <s v="#PepsiCoRefresh"/>
    <m/>
    <m/>
    <s v="DailyWellness"/>
    <n v="0.12577012959422137"/>
  </r>
  <r>
    <s v="P039"/>
    <x v="3"/>
    <d v="2024-11-25T00:00:00"/>
    <s v="Image"/>
    <s v="Check out our latest image on facebook!"/>
    <n v="3564"/>
    <n v="629"/>
    <n v="177"/>
    <n v="60588"/>
    <n v="59627"/>
    <n v="92"/>
    <n v="4370"/>
    <s v="#PepsiCoRefresh"/>
    <s v="#PepsiCoRefresh"/>
    <m/>
    <m/>
    <s v="Unassigned"/>
    <n v="7.2126493695121141E-2"/>
  </r>
  <r>
    <s v="P040"/>
    <x v="0"/>
    <d v="2025-03-07T00:00:00"/>
    <s v="Image"/>
    <s v="Check out our latest image on twitter!"/>
    <n v="4750"/>
    <n v="151"/>
    <n v="415"/>
    <n v="38000"/>
    <n v="37792"/>
    <n v="299"/>
    <n v="5316"/>
    <s v="#ThirstyForMore"/>
    <s v="#ThirstyForMore"/>
    <m/>
    <m/>
    <s v="DailyWellness"/>
    <n v="0.13989473684210527"/>
  </r>
  <r>
    <s v="P041"/>
    <x v="2"/>
    <d v="2025-03-08T00:00:00"/>
    <s v="Reel"/>
    <s v="Check out our latest reel on instagram!"/>
    <n v="456"/>
    <n v="629"/>
    <n v="428"/>
    <n v="8208"/>
    <n v="7377"/>
    <n v="205"/>
    <n v="1513"/>
    <s v="#LiveForNow"/>
    <s v="#LiveForNow"/>
    <m/>
    <m/>
    <s v="DailyWellness"/>
    <n v="0.18433235867446393"/>
  </r>
  <r>
    <s v="P042"/>
    <x v="1"/>
    <d v="2025-03-05T00:00:00"/>
    <s v="Reel"/>
    <s v="Check out our latest reel on youtube!"/>
    <n v="1543"/>
    <n v="820"/>
    <n v="333"/>
    <n v="12344"/>
    <n v="11496"/>
    <n v="241"/>
    <n v="2696"/>
    <s v="#ThirstyForMore"/>
    <s v="#ThirstyForMore"/>
    <m/>
    <m/>
    <s v="Unassigned"/>
    <n v="0.21840570317563188"/>
  </r>
  <r>
    <s v="P043"/>
    <x v="2"/>
    <d v="2024-12-14T00:00:00"/>
    <s v="Carousel"/>
    <s v="Check out our latest carousel on instagram!"/>
    <n v="2174"/>
    <n v="658"/>
    <n v="15"/>
    <n v="13044"/>
    <n v="12206"/>
    <n v="137"/>
    <n v="2847"/>
    <s v="#PepsiCoRefresh"/>
    <s v="#PepsiCoRefresh"/>
    <m/>
    <m/>
    <s v="NewYearRefresh"/>
    <n v="0.21826126954921804"/>
  </r>
  <r>
    <s v="P044"/>
    <x v="0"/>
    <d v="2025-03-02T00:00:00"/>
    <s v="Image"/>
    <s v="Check out our latest image on twitter!"/>
    <n v="2358"/>
    <n v="784"/>
    <n v="344"/>
    <n v="35370"/>
    <n v="34475"/>
    <n v="216"/>
    <n v="3486"/>
    <s v="#PepsiCoRefresh"/>
    <s v="#PepsiCoRefresh"/>
    <m/>
    <m/>
    <s v="Unassigned"/>
    <n v="9.8558100084817649E-2"/>
  </r>
  <r>
    <s v="P045"/>
    <x v="3"/>
    <d v="2024-11-01T00:00:00"/>
    <s v="Video"/>
    <s v="Check out our latest video on facebook!"/>
    <n v="3371"/>
    <n v="106"/>
    <n v="327"/>
    <n v="50565"/>
    <n v="49816"/>
    <n v="176"/>
    <n v="3804"/>
    <s v="#LiveForNow"/>
    <s v="#LiveForNow"/>
    <m/>
    <m/>
    <s v="SummerSplash"/>
    <n v="7.5229902106199939E-2"/>
  </r>
  <r>
    <s v="P046"/>
    <x v="0"/>
    <d v="2025-05-02T00:00:00"/>
    <s v="Video"/>
    <s v="Check out our latest video on twitter!"/>
    <n v="1108"/>
    <n v="177"/>
    <n v="212"/>
    <n v="8864"/>
    <n v="8710"/>
    <n v="97"/>
    <n v="1497"/>
    <s v="#PepsiCoRefresh"/>
    <s v="#PepsiCoRefresh"/>
    <m/>
    <m/>
    <s v="DailyWellness"/>
    <n v="0.16888537906137185"/>
  </r>
  <r>
    <s v="P047"/>
    <x v="0"/>
    <d v="2025-02-24T00:00:00"/>
    <s v="Carousel"/>
    <s v="Check out our latest carousel on twitter!"/>
    <n v="2704"/>
    <n v="752"/>
    <n v="153"/>
    <n v="21632"/>
    <n v="20792"/>
    <n v="127"/>
    <n v="3609"/>
    <s v="#LiveForNow"/>
    <s v="#LiveForNow"/>
    <m/>
    <m/>
    <s v="Unassigned"/>
    <n v="0.16683616863905326"/>
  </r>
  <r>
    <s v="P048"/>
    <x v="0"/>
    <d v="2025-03-11T00:00:00"/>
    <s v="Story"/>
    <s v="Check out our latest story on twitter!"/>
    <n v="1950"/>
    <n v="295"/>
    <n v="478"/>
    <n v="37050"/>
    <n v="36272"/>
    <n v="119"/>
    <n v="2723"/>
    <s v="#PepsiCoRefresh"/>
    <s v="#PepsiCoRefresh"/>
    <m/>
    <m/>
    <s v="Unassigned"/>
    <n v="7.349527665317139E-2"/>
  </r>
  <r>
    <s v="P049"/>
    <x v="0"/>
    <d v="2024-06-10T00:00:00"/>
    <s v="Story"/>
    <s v="Check out our latest story on twitter!"/>
    <n v="2164"/>
    <n v="549"/>
    <n v="274"/>
    <n v="28132"/>
    <n v="27361"/>
    <n v="177"/>
    <n v="2987"/>
    <s v="#PepsiCoRefresh"/>
    <s v="#PepsiCoRefresh"/>
    <m/>
    <m/>
    <s v="DailyWellness"/>
    <n v="0.10617801791554102"/>
  </r>
  <r>
    <s v="P050"/>
    <x v="1"/>
    <d v="2024-07-03T00:00:00"/>
    <s v="Story"/>
    <s v="Check out our latest story on youtube!"/>
    <n v="2754"/>
    <n v="130"/>
    <n v="90"/>
    <n v="22032"/>
    <n v="21288"/>
    <n v="112"/>
    <n v="2974"/>
    <s v="#PepsiCoRefresh"/>
    <s v="#PepsiCoRefresh"/>
    <m/>
    <m/>
    <s v="NewYearRefresh"/>
    <n v="0.13498547567175018"/>
  </r>
  <r>
    <s v="P051"/>
    <x v="3"/>
    <d v="2024-06-13T00:00:00"/>
    <s v="Carousel"/>
    <s v="Check out our latest carousel on facebook!"/>
    <n v="2200"/>
    <n v="504"/>
    <n v="239"/>
    <n v="37400"/>
    <n v="36938"/>
    <n v="225"/>
    <n v="2943"/>
    <s v="#LiveForNow"/>
    <s v="#LiveForNow"/>
    <m/>
    <m/>
    <s v="FestiveRadiance"/>
    <n v="7.8689839572192513E-2"/>
  </r>
  <r>
    <s v="P052"/>
    <x v="3"/>
    <d v="2025-01-03T00:00:00"/>
    <s v="Image"/>
    <s v="Check out our latest image on facebook!"/>
    <n v="947"/>
    <n v="338"/>
    <n v="350"/>
    <n v="10417"/>
    <n v="9730"/>
    <n v="34"/>
    <n v="1635"/>
    <s v="#PepsiCoRefresh"/>
    <s v="#PepsiCoRefresh"/>
    <m/>
    <m/>
    <s v="DailyWellness"/>
    <n v="0.1569549774407219"/>
  </r>
  <r>
    <s v="P053"/>
    <x v="1"/>
    <d v="2025-02-24T00:00:00"/>
    <s v="Carousel"/>
    <s v="Check out our latest carousel on youtube!"/>
    <n v="804"/>
    <n v="639"/>
    <n v="43"/>
    <n v="4020"/>
    <n v="3144"/>
    <n v="11"/>
    <n v="1486"/>
    <s v="#ThirstyForMore,#BetterWithPepsi"/>
    <s v="#ThirstyForMore"/>
    <s v="#BetterWithPepsi"/>
    <m/>
    <s v="Unassigned"/>
    <n v="0.36965174129353234"/>
  </r>
  <r>
    <s v="P054"/>
    <x v="1"/>
    <d v="2025-03-13T00:00:00"/>
    <s v="Carousel"/>
    <s v="Check out our latest carousel on youtube!"/>
    <n v="1686"/>
    <n v="904"/>
    <n v="472"/>
    <n v="18546"/>
    <n v="18171"/>
    <n v="52"/>
    <n v="3062"/>
    <s v="#LiveForNow"/>
    <s v="#LiveForNow"/>
    <m/>
    <m/>
    <s v="FestiveRadiance"/>
    <n v="0.16510298716704411"/>
  </r>
  <r>
    <s v="P055"/>
    <x v="3"/>
    <d v="2024-06-17T00:00:00"/>
    <s v="Image"/>
    <s v="Check out our latest image on facebook!"/>
    <n v="1226"/>
    <n v="119"/>
    <n v="7"/>
    <n v="14712"/>
    <n v="14049"/>
    <n v="123"/>
    <n v="1352"/>
    <s v="#ThirstyForMore"/>
    <s v="#ThirstyForMore"/>
    <m/>
    <m/>
    <s v="DailyWellness"/>
    <n v="9.1897770527460579E-2"/>
  </r>
  <r>
    <s v="P056"/>
    <x v="3"/>
    <d v="2024-12-18T00:00:00"/>
    <s v="Carousel"/>
    <s v="Check out our latest carousel on facebook!"/>
    <n v="2946"/>
    <n v="498"/>
    <n v="367"/>
    <n v="29460"/>
    <n v="28527"/>
    <n v="60"/>
    <n v="3811"/>
    <s v="#LiveForNow"/>
    <s v="#LiveForNow"/>
    <m/>
    <m/>
    <s v="NewYearRefresh"/>
    <n v="0.12936184657162253"/>
  </r>
  <r>
    <s v="P057"/>
    <x v="0"/>
    <d v="2024-10-21T00:00:00"/>
    <s v="Video"/>
    <s v="Check out our latest video on twitter!"/>
    <n v="2825"/>
    <n v="535"/>
    <n v="295"/>
    <n v="45200"/>
    <n v="44739"/>
    <n v="169"/>
    <n v="3655"/>
    <s v="#PepsiCoRefresh"/>
    <s v="#PepsiCoRefresh"/>
    <m/>
    <m/>
    <s v="SummerSplash"/>
    <n v="8.0862831858407078E-2"/>
  </r>
  <r>
    <s v="P058"/>
    <x v="2"/>
    <d v="2025-04-15T00:00:00"/>
    <s v="Reel"/>
    <s v="Check out our latest reel on instagram!"/>
    <n v="103"/>
    <n v="770"/>
    <n v="19"/>
    <n v="1030"/>
    <n v="410"/>
    <n v="262"/>
    <n v="892"/>
    <s v="#PepsiCoRefresh"/>
    <s v="#PepsiCoRefresh"/>
    <m/>
    <m/>
    <s v="DailyWellness"/>
    <n v="0.86601941747572819"/>
  </r>
  <r>
    <s v="P059"/>
    <x v="2"/>
    <d v="2024-06-22T00:00:00"/>
    <s v="Text"/>
    <s v="Check out our latest text on instagram!"/>
    <n v="2180"/>
    <n v="263"/>
    <n v="387"/>
    <n v="30520"/>
    <n v="30059"/>
    <n v="174"/>
    <n v="2830"/>
    <s v="#ThirstyForMore"/>
    <s v="#ThirstyForMore"/>
    <m/>
    <m/>
    <s v="Unassigned"/>
    <n v="9.2726081258191345E-2"/>
  </r>
  <r>
    <s v="P060"/>
    <x v="2"/>
    <d v="2025-01-28T00:00:00"/>
    <s v="Video"/>
    <s v="Check out our latest video on instagram!"/>
    <n v="904"/>
    <n v="973"/>
    <n v="63"/>
    <n v="11752"/>
    <n v="11580"/>
    <n v="84"/>
    <n v="1940"/>
    <s v="#ThirstyForMore,#PepsiCoRefresh,#AnytimeIsPepsiTime"/>
    <s v="#ThirstyForMore"/>
    <s v="#PepsiCoRefresh"/>
    <s v="#AnytimeIsPepsiTime"/>
    <s v="NewYearRefresh"/>
    <n v="0.1650782845473111"/>
  </r>
  <r>
    <s v="P061"/>
    <x v="0"/>
    <d v="2024-09-05T00:00:00"/>
    <s v="Video"/>
    <s v="Check out our latest video on twitter!"/>
    <n v="4886"/>
    <n v="983"/>
    <n v="409"/>
    <n v="43974"/>
    <n v="43239"/>
    <n v="65"/>
    <n v="6278"/>
    <s v="#PepsiCoRefresh"/>
    <s v="#PepsiCoRefresh"/>
    <m/>
    <m/>
    <s v="SummerSplash"/>
    <n v="0.14276618001546368"/>
  </r>
  <r>
    <s v="P062"/>
    <x v="0"/>
    <d v="2024-11-22T00:00:00"/>
    <s v="Carousel"/>
    <s v="Check out our latest carousel on twitter!"/>
    <n v="53"/>
    <n v="81"/>
    <n v="379"/>
    <n v="954"/>
    <n v="7"/>
    <n v="148"/>
    <n v="513"/>
    <s v="#PepsiCoRefresh"/>
    <s v="#PepsiCoRefresh"/>
    <m/>
    <m/>
    <s v="NewYearRefresh"/>
    <n v="0.53773584905660377"/>
  </r>
  <r>
    <s v="P063"/>
    <x v="0"/>
    <d v="2024-07-31T00:00:00"/>
    <s v="Carousel"/>
    <s v="Check out our latest carousel on twitter!"/>
    <n v="4507"/>
    <n v="217"/>
    <n v="13"/>
    <n v="90140"/>
    <n v="89591"/>
    <n v="125"/>
    <n v="4737"/>
    <s v="#LiveForNow"/>
    <s v="#LiveForNow"/>
    <m/>
    <m/>
    <s v="NewYearRefresh"/>
    <n v="5.2551586421122697E-2"/>
  </r>
  <r>
    <s v="P064"/>
    <x v="3"/>
    <d v="2024-08-17T00:00:00"/>
    <s v="Image"/>
    <s v="Check out our latest image on facebook!"/>
    <n v="2878"/>
    <n v="248"/>
    <n v="416"/>
    <n v="43170"/>
    <n v="42667"/>
    <n v="75"/>
    <n v="3542"/>
    <s v="#LiveForNow"/>
    <s v="#LiveForNow"/>
    <m/>
    <m/>
    <s v="NewYearRefresh"/>
    <n v="8.2047718322909427E-2"/>
  </r>
  <r>
    <s v="P065"/>
    <x v="2"/>
    <d v="2025-03-28T00:00:00"/>
    <s v="Story"/>
    <s v="Check out our latest story on instagram!"/>
    <n v="1881"/>
    <n v="501"/>
    <n v="99"/>
    <n v="20691"/>
    <n v="19987"/>
    <n v="289"/>
    <n v="2481"/>
    <s v="#ThirstyForMore"/>
    <s v="#ThirstyForMore"/>
    <m/>
    <m/>
    <s v="Unassigned"/>
    <n v="0.11990720603160794"/>
  </r>
  <r>
    <s v="P066"/>
    <x v="0"/>
    <d v="2024-07-26T00:00:00"/>
    <s v="Carousel"/>
    <s v="Check out our latest carousel on twitter!"/>
    <n v="432"/>
    <n v="171"/>
    <n v="280"/>
    <n v="3024"/>
    <n v="2285"/>
    <n v="184"/>
    <n v="883"/>
    <s v="#ThirstyForMore"/>
    <s v="#ThirstyForMore"/>
    <m/>
    <m/>
    <s v="SummerSplash"/>
    <n v="0.29199735449735448"/>
  </r>
  <r>
    <s v="P067"/>
    <x v="3"/>
    <d v="2025-03-29T00:00:00"/>
    <s v="Carousel"/>
    <s v="Check out our latest carousel on facebook!"/>
    <n v="4712"/>
    <n v="568"/>
    <n v="127"/>
    <n v="84816"/>
    <n v="84691"/>
    <n v="100"/>
    <n v="5407"/>
    <s v="#ThirstyForMore"/>
    <s v="#ThirstyForMore"/>
    <m/>
    <m/>
    <s v="NewYearRefresh"/>
    <n v="6.3749764195434822E-2"/>
  </r>
  <r>
    <s v="P068"/>
    <x v="2"/>
    <d v="2024-12-08T00:00:00"/>
    <s v="Story"/>
    <s v="Check out our latest story on instagram!"/>
    <n v="2610"/>
    <n v="126"/>
    <n v="288"/>
    <n v="15660"/>
    <n v="15145"/>
    <n v="73"/>
    <n v="3024"/>
    <s v="#ThirstyForMore"/>
    <s v="#ThirstyForMore"/>
    <m/>
    <m/>
    <s v="Unassigned"/>
    <n v="0.19310344827586207"/>
  </r>
  <r>
    <s v="P069"/>
    <x v="0"/>
    <d v="2025-03-08T00:00:00"/>
    <s v="Text"/>
    <s v="Check out our latest text on twitter!"/>
    <n v="1292"/>
    <n v="626"/>
    <n v="496"/>
    <n v="25840"/>
    <n v="24916"/>
    <n v="149"/>
    <n v="2414"/>
    <s v="#LiveForNow"/>
    <s v="#LiveForNow"/>
    <m/>
    <m/>
    <s v="NewYearRefresh"/>
    <n v="9.3421052631578946E-2"/>
  </r>
  <r>
    <s v="P070"/>
    <x v="3"/>
    <d v="2025-04-02T00:00:00"/>
    <s v="Video"/>
    <s v="Check out our latest video on facebook!"/>
    <n v="199"/>
    <n v="772"/>
    <n v="400"/>
    <n v="3582"/>
    <n v="2988"/>
    <n v="43"/>
    <n v="1371"/>
    <s v="#PepsiCoRefresh"/>
    <s v="#PepsiCoRefresh"/>
    <m/>
    <m/>
    <s v="Unassigned"/>
    <n v="0.38274706867671693"/>
  </r>
  <r>
    <s v="P071"/>
    <x v="1"/>
    <d v="2024-09-02T00:00:00"/>
    <s v="Carousel"/>
    <s v="Check out our latest carousel on youtube!"/>
    <n v="2551"/>
    <n v="915"/>
    <n v="205"/>
    <n v="30612"/>
    <n v="30360"/>
    <n v="227"/>
    <n v="3671"/>
    <s v="#PepsiCoRefresh"/>
    <s v="#PepsiCoRefresh"/>
    <m/>
    <m/>
    <s v="FestiveRadiance"/>
    <n v="0.1199202926956749"/>
  </r>
  <r>
    <s v="P072"/>
    <x v="1"/>
    <d v="2025-03-03T00:00:00"/>
    <s v="Reel"/>
    <s v="Check out our latest reel on youtube!"/>
    <n v="296"/>
    <n v="60"/>
    <n v="141"/>
    <n v="5624"/>
    <n v="5239"/>
    <n v="88"/>
    <n v="497"/>
    <s v="#ThirstyForMore"/>
    <s v="#ThirstyForMore"/>
    <m/>
    <m/>
    <s v="FestiveRadiance"/>
    <n v="8.837126600284495E-2"/>
  </r>
  <r>
    <s v="P073"/>
    <x v="3"/>
    <d v="2024-10-18T00:00:00"/>
    <s v="Story"/>
    <s v="Check out our latest story on facebook!"/>
    <n v="4126"/>
    <n v="426"/>
    <n v="486"/>
    <n v="78394"/>
    <n v="77798"/>
    <n v="88"/>
    <n v="5038"/>
    <s v="#LiveForNow"/>
    <s v="#LiveForNow"/>
    <m/>
    <m/>
    <s v="DailyWellness"/>
    <n v="6.4265122330790625E-2"/>
  </r>
  <r>
    <s v="P074"/>
    <x v="1"/>
    <d v="2024-10-28T00:00:00"/>
    <s v="Reel"/>
    <s v="Check out our latest reel on youtube!"/>
    <n v="1855"/>
    <n v="200"/>
    <n v="174"/>
    <n v="16695"/>
    <n v="16330"/>
    <n v="123"/>
    <n v="2229"/>
    <s v="#PepsiCoRefresh"/>
    <s v="#PepsiCoRefresh"/>
    <m/>
    <m/>
    <s v="NewYearRefresh"/>
    <n v="0.13351302785265048"/>
  </r>
  <r>
    <s v="P075"/>
    <x v="2"/>
    <d v="2024-08-01T00:00:00"/>
    <s v="Reel"/>
    <s v="Check out our latest reel on instagram!"/>
    <n v="1674"/>
    <n v="929"/>
    <n v="37"/>
    <n v="21762"/>
    <n v="20998"/>
    <n v="255"/>
    <n v="2640"/>
    <s v="#PepsiCoRefresh"/>
    <s v="#PepsiCoRefresh"/>
    <m/>
    <m/>
    <s v="DailyWellness"/>
    <n v="0.12131237937689551"/>
  </r>
  <r>
    <s v="P076"/>
    <x v="0"/>
    <d v="2024-11-07T00:00:00"/>
    <s v="Story"/>
    <s v="Check out our latest story on twitter!"/>
    <n v="1121"/>
    <n v="135"/>
    <n v="18"/>
    <n v="15694"/>
    <n v="14957"/>
    <n v="99"/>
    <n v="1274"/>
    <s v="#PepsiCoRefresh"/>
    <s v="#PepsiCoRefresh"/>
    <m/>
    <m/>
    <s v="DailyWellness"/>
    <n v="8.1177520071364848E-2"/>
  </r>
  <r>
    <s v="P077"/>
    <x v="3"/>
    <d v="2025-03-04T00:00:00"/>
    <s v="Story"/>
    <s v="Check out our latest story on facebook!"/>
    <n v="1249"/>
    <n v="116"/>
    <n v="420"/>
    <n v="8743"/>
    <n v="8538"/>
    <n v="63"/>
    <n v="1785"/>
    <s v="#PepsiCoRefresh"/>
    <s v="#PepsiCoRefresh"/>
    <m/>
    <m/>
    <s v="Unassigned"/>
    <n v="0.20416333066453163"/>
  </r>
  <r>
    <s v="P078"/>
    <x v="0"/>
    <d v="2024-06-17T00:00:00"/>
    <s v="Image"/>
    <s v="Check out our latest image on twitter!"/>
    <n v="954"/>
    <n v="324"/>
    <n v="288"/>
    <n v="19080"/>
    <n v="18859"/>
    <n v="21"/>
    <n v="1566"/>
    <s v="#LiveForNow"/>
    <s v="#LiveForNow"/>
    <m/>
    <m/>
    <s v="DailyWellness"/>
    <n v="8.2075471698113203E-2"/>
  </r>
  <r>
    <s v="P079"/>
    <x v="2"/>
    <d v="2024-10-09T00:00:00"/>
    <s v="Carousel"/>
    <s v="Check out our latest carousel on instagram!"/>
    <n v="3068"/>
    <n v="137"/>
    <n v="329"/>
    <n v="39884"/>
    <n v="39404"/>
    <n v="266"/>
    <n v="3534"/>
    <s v="#ThirstyForMore"/>
    <s v="#ThirstyForMore"/>
    <m/>
    <m/>
    <s v="FestiveRadiance"/>
    <n v="8.860696018453515E-2"/>
  </r>
  <r>
    <s v="P080"/>
    <x v="2"/>
    <d v="2024-06-13T00:00:00"/>
    <s v="Story"/>
    <s v="Check out our latest story on instagram!"/>
    <n v="2103"/>
    <n v="892"/>
    <n v="103"/>
    <n v="39957"/>
    <n v="39466"/>
    <n v="28"/>
    <n v="3098"/>
    <s v="#LiveForNow"/>
    <s v="#LiveForNow"/>
    <m/>
    <m/>
    <s v="Unassigned"/>
    <n v="7.7533348349475686E-2"/>
  </r>
  <r>
    <s v="P081"/>
    <x v="2"/>
    <d v="2024-10-19T00:00:00"/>
    <s v="Story"/>
    <s v="Check out our latest story on instagram!"/>
    <n v="1816"/>
    <n v="29"/>
    <n v="41"/>
    <n v="19976"/>
    <n v="19262"/>
    <n v="283"/>
    <n v="1886"/>
    <s v="#PepsiCoRefresh"/>
    <s v="#PepsiCoRefresh"/>
    <m/>
    <m/>
    <s v="NewYearRefresh"/>
    <n v="9.4413295955146179E-2"/>
  </r>
  <r>
    <s v="P082"/>
    <x v="2"/>
    <d v="2024-07-24T00:00:00"/>
    <s v="Image"/>
    <s v="Check out our latest image on instagram!"/>
    <n v="725"/>
    <n v="88"/>
    <n v="428"/>
    <n v="14500"/>
    <n v="13637"/>
    <n v="200"/>
    <n v="1241"/>
    <s v="#LiveForNow,#PepsiCoRefresh,#AnytimeIsPepsiTime"/>
    <s v="#LiveForNow"/>
    <s v="#PepsiCoRefresh"/>
    <s v="#AnytimeIsPepsiTime"/>
    <s v="NewYearRefresh"/>
    <n v="8.558620689655172E-2"/>
  </r>
  <r>
    <s v="P083"/>
    <x v="1"/>
    <d v="2024-10-15T00:00:00"/>
    <s v="Video"/>
    <s v="Check out our latest video on youtube!"/>
    <n v="1094"/>
    <n v="472"/>
    <n v="21"/>
    <n v="9846"/>
    <n v="9609"/>
    <n v="112"/>
    <n v="1587"/>
    <s v="#ThirstyForMore"/>
    <s v="#ThirstyForMore"/>
    <m/>
    <m/>
    <s v="Unassigned"/>
    <n v="0.16118220597196831"/>
  </r>
  <r>
    <s v="P084"/>
    <x v="3"/>
    <d v="2024-12-09T00:00:00"/>
    <s v="Image"/>
    <s v="Check out our latest image on facebook!"/>
    <n v="1841"/>
    <n v="851"/>
    <n v="342"/>
    <n v="34979"/>
    <n v="34154"/>
    <n v="255"/>
    <n v="3034"/>
    <s v="#LiveForNow"/>
    <s v="#LiveForNow"/>
    <m/>
    <m/>
    <s v="DailyWellness"/>
    <n v="8.6737756939878216E-2"/>
  </r>
  <r>
    <s v="P085"/>
    <x v="2"/>
    <d v="2025-04-19T00:00:00"/>
    <s v="Image"/>
    <s v="Check out our latest image on instagram!"/>
    <n v="4177"/>
    <n v="569"/>
    <n v="55"/>
    <n v="25062"/>
    <n v="24847"/>
    <n v="230"/>
    <n v="4801"/>
    <s v="#LiveForNow"/>
    <s v="#LiveForNow"/>
    <m/>
    <m/>
    <s v="SummerSplash"/>
    <n v="0.19156491900087783"/>
  </r>
  <r>
    <s v="P086"/>
    <x v="1"/>
    <d v="2025-01-27T00:00:00"/>
    <s v="Text"/>
    <s v="Check out our latest text on youtube!"/>
    <n v="3428"/>
    <n v="305"/>
    <n v="85"/>
    <n v="58276"/>
    <n v="58052"/>
    <n v="242"/>
    <n v="3818"/>
    <s v="#ThirstyForMore,#BetterWithPepsi"/>
    <s v="#ThirstyForMore"/>
    <s v="#BetterWithPepsi"/>
    <m/>
    <s v="DailyWellness"/>
    <n v="6.5515821264328367E-2"/>
  </r>
  <r>
    <s v="P087"/>
    <x v="0"/>
    <d v="2024-06-06T00:00:00"/>
    <s v="Video"/>
    <s v="Check out our latest video on twitter!"/>
    <n v="1436"/>
    <n v="765"/>
    <n v="496"/>
    <n v="12924"/>
    <n v="12701"/>
    <n v="197"/>
    <n v="2697"/>
    <s v="#LiveForNow"/>
    <s v="#LiveForNow"/>
    <m/>
    <m/>
    <s v="NewYearRefresh"/>
    <n v="0.20868152274837512"/>
  </r>
  <r>
    <s v="P088"/>
    <x v="3"/>
    <d v="2024-07-07T00:00:00"/>
    <s v="Story"/>
    <s v="Check out our latest story on facebook!"/>
    <n v="302"/>
    <n v="47"/>
    <n v="430"/>
    <n v="5738"/>
    <n v="4890"/>
    <n v="25"/>
    <n v="779"/>
    <s v="#PepsiCoRefresh"/>
    <s v="#PepsiCoRefresh"/>
    <m/>
    <m/>
    <s v="DailyWellness"/>
    <n v="0.13576158940397351"/>
  </r>
  <r>
    <s v="P089"/>
    <x v="0"/>
    <d v="2025-01-10T00:00:00"/>
    <s v="Image"/>
    <s v="Check out our latest image on twitter!"/>
    <n v="2214"/>
    <n v="249"/>
    <n v="152"/>
    <n v="15498"/>
    <n v="14800"/>
    <n v="180"/>
    <n v="2615"/>
    <s v="#ThirstyForMore"/>
    <s v="#ThirstyForMore"/>
    <m/>
    <m/>
    <s v="Unassigned"/>
    <n v="0.16873144921925409"/>
  </r>
  <r>
    <s v="P090"/>
    <x v="2"/>
    <d v="2024-06-03T00:00:00"/>
    <s v="Image"/>
    <s v="Check out our latest image on instagram!"/>
    <n v="3861"/>
    <n v="960"/>
    <n v="101"/>
    <n v="69498"/>
    <n v="68817"/>
    <n v="297"/>
    <n v="4922"/>
    <s v="#PepsiCoRefresh"/>
    <s v="#PepsiCoRefresh"/>
    <m/>
    <m/>
    <s v="DailyWellness"/>
    <n v="7.0822181933293038E-2"/>
  </r>
  <r>
    <s v="P091"/>
    <x v="3"/>
    <d v="2025-03-24T00:00:00"/>
    <s v="Image"/>
    <s v="Check out our latest image on facebook!"/>
    <n v="1263"/>
    <n v="397"/>
    <n v="357"/>
    <n v="25260"/>
    <n v="24615"/>
    <n v="137"/>
    <n v="2017"/>
    <s v="#ThirstyForMore"/>
    <s v="#ThirstyForMore"/>
    <m/>
    <m/>
    <s v="DailyWellness"/>
    <n v="7.984956452889945E-2"/>
  </r>
  <r>
    <s v="P092"/>
    <x v="0"/>
    <d v="2024-10-21T00:00:00"/>
    <s v="Story"/>
    <s v="Check out our latest story on twitter!"/>
    <n v="3801"/>
    <n v="967"/>
    <n v="401"/>
    <n v="38010"/>
    <n v="37625"/>
    <n v="236"/>
    <n v="5169"/>
    <s v="#LiveForNow"/>
    <s v="#LiveForNow"/>
    <m/>
    <m/>
    <s v="NewYearRefresh"/>
    <n v="0.13599052880820836"/>
  </r>
  <r>
    <s v="P093"/>
    <x v="2"/>
    <d v="2024-12-11T00:00:00"/>
    <s v="Video"/>
    <s v="Check out our latest video on instagram!"/>
    <n v="1431"/>
    <n v="951"/>
    <n v="26"/>
    <n v="8586"/>
    <n v="8396"/>
    <n v="150"/>
    <n v="2408"/>
    <s v="#ThirstyForMore"/>
    <s v="#ThirstyForMore"/>
    <m/>
    <m/>
    <s v="NewYearRefresh"/>
    <n v="0.28045655718611695"/>
  </r>
  <r>
    <s v="P094"/>
    <x v="2"/>
    <d v="2024-11-07T00:00:00"/>
    <s v="Image"/>
    <s v="Check out our latest image on instagram!"/>
    <n v="2647"/>
    <n v="304"/>
    <n v="170"/>
    <n v="18529"/>
    <n v="17841"/>
    <n v="46"/>
    <n v="3121"/>
    <s v="#LiveForNow"/>
    <s v="#LiveForNow"/>
    <m/>
    <m/>
    <s v="NewYearRefresh"/>
    <n v="0.16843866371633656"/>
  </r>
  <r>
    <s v="P095"/>
    <x v="2"/>
    <d v="2024-11-08T00:00:00"/>
    <s v="Text"/>
    <s v="Check out our latest text on instagram!"/>
    <n v="3182"/>
    <n v="559"/>
    <n v="160"/>
    <n v="57276"/>
    <n v="56890"/>
    <n v="163"/>
    <n v="3901"/>
    <s v="#LiveForNow"/>
    <s v="#LiveForNow"/>
    <m/>
    <m/>
    <s v="DailyWellness"/>
    <n v="6.8108806480899509E-2"/>
  </r>
  <r>
    <s v="P096"/>
    <x v="0"/>
    <d v="2024-09-10T00:00:00"/>
    <s v="Image"/>
    <s v="Check out our latest image on twitter!"/>
    <n v="1238"/>
    <n v="366"/>
    <n v="444"/>
    <n v="19808"/>
    <n v="19334"/>
    <n v="123"/>
    <n v="2048"/>
    <s v="#LiveForNow"/>
    <s v="#LiveForNow"/>
    <m/>
    <m/>
    <s v="Unassigned"/>
    <n v="0.10339256865912763"/>
  </r>
  <r>
    <s v="P097"/>
    <x v="2"/>
    <d v="2024-08-13T00:00:00"/>
    <s v="Image"/>
    <s v="Check out our latest image on instagram!"/>
    <n v="4739"/>
    <n v="527"/>
    <n v="135"/>
    <n v="61607"/>
    <n v="61333"/>
    <n v="36"/>
    <n v="5401"/>
    <s v="#PepsiCoRefresh,#AnytimeIsPepsiTime"/>
    <s v="#PepsiCoRefresh"/>
    <s v="#AnytimeIsPepsiTime"/>
    <m/>
    <s v="FestiveRadiance"/>
    <n v="8.7668609086629767E-2"/>
  </r>
  <r>
    <s v="P098"/>
    <x v="0"/>
    <d v="2024-06-10T00:00:00"/>
    <s v="Story"/>
    <s v="Check out our latest story on twitter!"/>
    <n v="1575"/>
    <n v="771"/>
    <n v="486"/>
    <n v="25200"/>
    <n v="24826"/>
    <n v="17"/>
    <n v="2832"/>
    <s v="#LiveForNow"/>
    <s v="#LiveForNow"/>
    <m/>
    <m/>
    <s v="DailyWellness"/>
    <n v="0.11238095238095239"/>
  </r>
  <r>
    <s v="P099"/>
    <x v="1"/>
    <d v="2024-07-02T00:00:00"/>
    <s v="Carousel"/>
    <s v="Check out our latest carousel on youtube!"/>
    <n v="4171"/>
    <n v="548"/>
    <n v="86"/>
    <n v="66736"/>
    <n v="66634"/>
    <n v="173"/>
    <n v="4805"/>
    <s v="#LiveForNow"/>
    <s v="#LiveForNow"/>
    <m/>
    <m/>
    <s v="NewYearRefresh"/>
    <n v="7.2000119875329657E-2"/>
  </r>
  <r>
    <s v="P100"/>
    <x v="1"/>
    <d v="2025-02-10T00:00:00"/>
    <s v="Video"/>
    <s v="Check out our latest video on youtube!"/>
    <n v="1766"/>
    <n v="92"/>
    <n v="424"/>
    <n v="24724"/>
    <n v="24333"/>
    <n v="52"/>
    <n v="2282"/>
    <s v="#ThirstyForMore"/>
    <s v="#ThirstyForMore"/>
    <m/>
    <m/>
    <s v="Unassigned"/>
    <n v="9.2298980747451867E-2"/>
  </r>
  <r>
    <s v="P101"/>
    <x v="1"/>
    <d v="2024-10-18T00:00:00"/>
    <s v="Video"/>
    <s v="Check out our latest video on youtube!"/>
    <n v="4450"/>
    <n v="983"/>
    <n v="143"/>
    <n v="75650"/>
    <n v="75008"/>
    <n v="12"/>
    <n v="5576"/>
    <s v="#LiveForNow"/>
    <s v="#LiveForNow"/>
    <m/>
    <m/>
    <s v="NewYearRefresh"/>
    <n v="7.3707865168539333E-2"/>
  </r>
  <r>
    <s v="P102"/>
    <x v="0"/>
    <d v="2024-09-18T00:00:00"/>
    <s v="Reel"/>
    <s v="Check out our latest reel on twitter!"/>
    <n v="1000"/>
    <n v="978"/>
    <n v="162"/>
    <n v="6000"/>
    <n v="5221"/>
    <n v="223"/>
    <n v="2140"/>
    <s v="#ThirstyForMore"/>
    <s v="#ThirstyForMore"/>
    <m/>
    <m/>
    <s v="FestiveRadiance"/>
    <n v="0.35666666666666669"/>
  </r>
  <r>
    <s v="P103"/>
    <x v="3"/>
    <d v="2024-06-11T00:00:00"/>
    <s v="Image"/>
    <s v="Check out our latest image on facebook!"/>
    <n v="3689"/>
    <n v="48"/>
    <n v="306"/>
    <n v="40579"/>
    <n v="39588"/>
    <n v="212"/>
    <n v="4043"/>
    <s v="#ThirstyForMore"/>
    <s v="#ThirstyForMore"/>
    <m/>
    <m/>
    <s v="FestiveRadiance"/>
    <n v="9.9632815002833983E-2"/>
  </r>
  <r>
    <s v="P104"/>
    <x v="1"/>
    <d v="2025-03-23T00:00:00"/>
    <s v="Story"/>
    <s v="Check out our latest story on youtube!"/>
    <n v="3655"/>
    <n v="568"/>
    <n v="286"/>
    <n v="32895"/>
    <n v="32015"/>
    <n v="199"/>
    <n v="4509"/>
    <s v="#PepsiCoRefresh"/>
    <s v="#PepsiCoRefresh"/>
    <m/>
    <m/>
    <s v="NewYearRefresh"/>
    <n v="0.13707250341997265"/>
  </r>
  <r>
    <s v="P105"/>
    <x v="2"/>
    <d v="2024-06-14T00:00:00"/>
    <s v="Carousel"/>
    <s v="Check out our latest carousel on instagram!"/>
    <n v="498"/>
    <n v="38"/>
    <n v="42"/>
    <n v="4482"/>
    <n v="3647"/>
    <n v="32"/>
    <n v="578"/>
    <s v="#LiveForNow"/>
    <s v="#LiveForNow"/>
    <m/>
    <m/>
    <s v="SummerSplash"/>
    <n v="0.12896028558679162"/>
  </r>
  <r>
    <s v="P106"/>
    <x v="2"/>
    <d v="2025-02-04T00:00:00"/>
    <s v="Image"/>
    <s v="Check out our latest image on instagram!"/>
    <n v="4619"/>
    <n v="821"/>
    <n v="499"/>
    <n v="69285"/>
    <n v="69141"/>
    <n v="298"/>
    <n v="5939"/>
    <s v="#PepsiCoRefresh"/>
    <s v="#PepsiCoRefresh"/>
    <m/>
    <m/>
    <s v="DailyWellness"/>
    <n v="8.5718409468138843E-2"/>
  </r>
  <r>
    <s v="P107"/>
    <x v="1"/>
    <d v="2024-06-21T00:00:00"/>
    <s v="Image"/>
    <s v="Check out our latest image on youtube!"/>
    <n v="4832"/>
    <n v="893"/>
    <n v="10"/>
    <n v="91808"/>
    <n v="91296"/>
    <n v="182"/>
    <n v="5735"/>
    <s v="#PepsiCoRefresh"/>
    <s v="#PepsiCoRefresh"/>
    <m/>
    <m/>
    <s v="Unassigned"/>
    <n v="6.2467323109097243E-2"/>
  </r>
  <r>
    <s v="P108"/>
    <x v="0"/>
    <d v="2025-03-25T00:00:00"/>
    <s v="Video"/>
    <s v="Check out our latest video on twitter!"/>
    <n v="4050"/>
    <n v="871"/>
    <n v="347"/>
    <n v="52650"/>
    <n v="51755"/>
    <n v="209"/>
    <n v="5268"/>
    <s v="#PepsiCoRefresh"/>
    <s v="#PepsiCoRefresh"/>
    <m/>
    <m/>
    <s v="FestiveRadiance"/>
    <n v="0.10005698005698006"/>
  </r>
  <r>
    <s v="P109"/>
    <x v="0"/>
    <d v="2024-08-08T00:00:00"/>
    <s v="Story"/>
    <s v="Check out our latest story on twitter!"/>
    <n v="3649"/>
    <n v="215"/>
    <n v="413"/>
    <n v="25543"/>
    <n v="24963"/>
    <n v="167"/>
    <n v="4277"/>
    <s v="#LiveForNow"/>
    <s v="#LiveForNow"/>
    <m/>
    <m/>
    <s v="NewYearRefresh"/>
    <n v="0.16744313510550835"/>
  </r>
  <r>
    <s v="P110"/>
    <x v="2"/>
    <d v="2024-07-29T00:00:00"/>
    <s v="Reel"/>
    <s v="Check out our latest reel on instagram!"/>
    <n v="3523"/>
    <n v="753"/>
    <n v="482"/>
    <n v="38753"/>
    <n v="38579"/>
    <n v="270"/>
    <n v="4758"/>
    <s v="#ThirstyForMore"/>
    <s v="#ThirstyForMore"/>
    <m/>
    <m/>
    <s v="FestiveRadiance"/>
    <n v="0.12277759141227776"/>
  </r>
  <r>
    <s v="P111"/>
    <x v="1"/>
    <d v="2024-11-23T00:00:00"/>
    <s v="Image"/>
    <s v="Check out our latest image on youtube!"/>
    <n v="2719"/>
    <n v="17"/>
    <n v="285"/>
    <n v="40785"/>
    <n v="40281"/>
    <n v="40"/>
    <n v="3021"/>
    <s v="#PepsiCoRefresh"/>
    <s v="#PepsiCoRefresh"/>
    <m/>
    <m/>
    <s v="FestiveRadiance"/>
    <n v="7.4071349760941527E-2"/>
  </r>
  <r>
    <s v="P112"/>
    <x v="0"/>
    <d v="2024-10-05T00:00:00"/>
    <s v="Story"/>
    <s v="Check out our latest story on twitter!"/>
    <n v="1957"/>
    <n v="877"/>
    <n v="238"/>
    <n v="17613"/>
    <n v="16865"/>
    <n v="297"/>
    <n v="3072"/>
    <s v="#LiveForNow"/>
    <s v="#LiveForNow"/>
    <m/>
    <m/>
    <s v="NewYearRefresh"/>
    <n v="0.17441662408448305"/>
  </r>
  <r>
    <s v="P113"/>
    <x v="0"/>
    <d v="2024-10-02T00:00:00"/>
    <s v="Carousel"/>
    <s v="Check out our latest carousel on twitter!"/>
    <n v="4419"/>
    <n v="236"/>
    <n v="369"/>
    <n v="44190"/>
    <n v="43582"/>
    <n v="10"/>
    <n v="5024"/>
    <s v="#ThirstyForMore"/>
    <s v="#ThirstyForMore"/>
    <m/>
    <m/>
    <s v="SummerSplash"/>
    <n v="0.11369088028965829"/>
  </r>
  <r>
    <s v="P114"/>
    <x v="0"/>
    <d v="2024-11-14T00:00:00"/>
    <s v="Story"/>
    <s v="Check out our latest story on twitter!"/>
    <n v="4000"/>
    <n v="689"/>
    <n v="488"/>
    <n v="40000"/>
    <n v="39569"/>
    <n v="44"/>
    <n v="5177"/>
    <s v="#LiveForNow"/>
    <s v="#LiveForNow"/>
    <m/>
    <m/>
    <s v="SummerSplash"/>
    <n v="0.12942500000000001"/>
  </r>
  <r>
    <s v="P115"/>
    <x v="0"/>
    <d v="2025-05-11T00:00:00"/>
    <s v="Image"/>
    <s v="Check out our latest image on twitter!"/>
    <n v="2493"/>
    <n v="97"/>
    <n v="44"/>
    <n v="42381"/>
    <n v="41991"/>
    <n v="242"/>
    <n v="2634"/>
    <s v="#PepsiCoRefresh,#AnytimeIsPepsiTime"/>
    <s v="#PepsiCoRefresh"/>
    <s v="#AnytimeIsPepsiTime"/>
    <m/>
    <s v="DailyWellness"/>
    <n v="6.2150491965739366E-2"/>
  </r>
  <r>
    <s v="P116"/>
    <x v="1"/>
    <d v="2025-03-18T00:00:00"/>
    <s v="Reel"/>
    <s v="Check out our latest reel on youtube!"/>
    <n v="3704"/>
    <n v="186"/>
    <n v="458"/>
    <n v="25928"/>
    <n v="25081"/>
    <n v="131"/>
    <n v="4348"/>
    <s v="#PepsiCoRefresh"/>
    <s v="#PepsiCoRefresh"/>
    <m/>
    <m/>
    <s v="Unassigned"/>
    <n v="0.16769515581610614"/>
  </r>
  <r>
    <s v="P117"/>
    <x v="0"/>
    <d v="2024-11-04T00:00:00"/>
    <s v="Image"/>
    <s v="Check out our latest image on twitter!"/>
    <n v="1606"/>
    <n v="451"/>
    <n v="405"/>
    <n v="20878"/>
    <n v="20190"/>
    <n v="219"/>
    <n v="2462"/>
    <s v="#ThirstyForMore"/>
    <s v="#ThirstyForMore"/>
    <m/>
    <m/>
    <s v="DailyWellness"/>
    <n v="0.11792317271769326"/>
  </r>
  <r>
    <s v="P118"/>
    <x v="3"/>
    <d v="2024-11-04T00:00:00"/>
    <s v="Image"/>
    <s v="Check out our latest image on facebook!"/>
    <n v="4551"/>
    <n v="714"/>
    <n v="207"/>
    <n v="68265"/>
    <n v="67754"/>
    <n v="57"/>
    <n v="5472"/>
    <s v="#LiveForNow"/>
    <s v="#LiveForNow"/>
    <m/>
    <m/>
    <s v="NewYearRefresh"/>
    <n v="8.0158206987475278E-2"/>
  </r>
  <r>
    <s v="P119"/>
    <x v="2"/>
    <d v="2025-02-07T00:00:00"/>
    <s v="Reel"/>
    <s v="Check out our latest reel on instagram!"/>
    <n v="1970"/>
    <n v="675"/>
    <n v="478"/>
    <n v="9850"/>
    <n v="8924"/>
    <n v="117"/>
    <n v="3123"/>
    <s v="#LiveForNow"/>
    <s v="#LiveForNow"/>
    <m/>
    <m/>
    <s v="Unassigned"/>
    <n v="0.31705583756345179"/>
  </r>
  <r>
    <s v="P120"/>
    <x v="3"/>
    <d v="2024-10-21T00:00:00"/>
    <s v="Story"/>
    <s v="Check out our latest story on facebook!"/>
    <n v="780"/>
    <n v="928"/>
    <n v="301"/>
    <n v="8580"/>
    <n v="8081"/>
    <n v="91"/>
    <n v="2009"/>
    <s v="#ThirstyForMore"/>
    <s v="#ThirstyForMore"/>
    <m/>
    <m/>
    <s v="NewYearRefresh"/>
    <n v="0.23414918414918415"/>
  </r>
  <r>
    <s v="P121"/>
    <x v="2"/>
    <d v="2024-07-29T00:00:00"/>
    <s v="Story"/>
    <s v="Check out our latest story on instagram!"/>
    <n v="498"/>
    <n v="701"/>
    <n v="412"/>
    <n v="4980"/>
    <n v="4185"/>
    <n v="185"/>
    <n v="1611"/>
    <s v="#LiveForNow"/>
    <s v="#LiveForNow"/>
    <m/>
    <m/>
    <s v="Unassigned"/>
    <n v="0.32349397590361445"/>
  </r>
  <r>
    <s v="P122"/>
    <x v="2"/>
    <d v="2024-10-02T00:00:00"/>
    <s v="Text"/>
    <s v="Check out our latest text on instagram!"/>
    <n v="3432"/>
    <n v="869"/>
    <n v="123"/>
    <n v="54912"/>
    <n v="53916"/>
    <n v="264"/>
    <n v="4424"/>
    <s v="#ThirstyForMore"/>
    <s v="#ThirstyForMore"/>
    <m/>
    <m/>
    <s v="FestiveRadiance"/>
    <n v="8.0565268065268064E-2"/>
  </r>
  <r>
    <s v="P123"/>
    <x v="2"/>
    <d v="2024-06-14T00:00:00"/>
    <s v="Story"/>
    <s v="Check out our latest story on instagram!"/>
    <n v="4363"/>
    <n v="649"/>
    <n v="140"/>
    <n v="21815"/>
    <n v="21481"/>
    <n v="157"/>
    <n v="5152"/>
    <s v="#ThirstyForMore"/>
    <s v="#ThirstyForMore"/>
    <m/>
    <m/>
    <s v="SummerSplash"/>
    <n v="0.23616777446710979"/>
  </r>
  <r>
    <s v="P124"/>
    <x v="1"/>
    <d v="2025-04-06T00:00:00"/>
    <s v="Carousel"/>
    <s v="Check out our latest carousel on youtube!"/>
    <n v="736"/>
    <n v="771"/>
    <n v="225"/>
    <n v="5152"/>
    <n v="4706"/>
    <n v="19"/>
    <n v="1732"/>
    <s v="#ThirstyForMore"/>
    <s v="#ThirstyForMore"/>
    <m/>
    <m/>
    <s v="SummerSplash"/>
    <n v="0.33618012422360249"/>
  </r>
  <r>
    <s v="P125"/>
    <x v="0"/>
    <d v="2024-09-08T00:00:00"/>
    <s v="Carousel"/>
    <s v="Check out our latest carousel on twitter!"/>
    <n v="3811"/>
    <n v="866"/>
    <n v="216"/>
    <n v="34299"/>
    <n v="34088"/>
    <n v="233"/>
    <n v="4893"/>
    <s v="#PepsiCoRefresh"/>
    <s v="#PepsiCoRefresh"/>
    <m/>
    <m/>
    <s v="DailyWellness"/>
    <n v="0.14265722032712325"/>
  </r>
  <r>
    <s v="P126"/>
    <x v="2"/>
    <d v="2025-03-28T00:00:00"/>
    <s v="Carousel"/>
    <s v="Check out our latest carousel on instagram!"/>
    <n v="4158"/>
    <n v="167"/>
    <n v="241"/>
    <n v="45738"/>
    <n v="45183"/>
    <n v="142"/>
    <n v="4566"/>
    <s v="#LiveForNow"/>
    <s v="#LiveForNow"/>
    <m/>
    <m/>
    <s v="Unassigned"/>
    <n v="9.9829463465827106E-2"/>
  </r>
  <r>
    <s v="P127"/>
    <x v="3"/>
    <d v="2025-01-27T00:00:00"/>
    <s v="Reel"/>
    <s v="Check out our latest reel on facebook!"/>
    <n v="3452"/>
    <n v="652"/>
    <n v="442"/>
    <n v="65588"/>
    <n v="65049"/>
    <n v="158"/>
    <n v="4546"/>
    <s v="#LiveForNow"/>
    <s v="#LiveForNow"/>
    <m/>
    <m/>
    <s v="NewYearRefresh"/>
    <n v="6.9311459413307311E-2"/>
  </r>
  <r>
    <s v="P128"/>
    <x v="0"/>
    <d v="2025-01-10T00:00:00"/>
    <s v="Image"/>
    <s v="Check out our latest image on twitter!"/>
    <n v="3092"/>
    <n v="106"/>
    <n v="291"/>
    <n v="27828"/>
    <n v="27217"/>
    <n v="102"/>
    <n v="3489"/>
    <s v="#LiveForNow"/>
    <s v="#LiveForNow"/>
    <m/>
    <m/>
    <s v="Unassigned"/>
    <n v="0.12537731780940059"/>
  </r>
  <r>
    <s v="P129"/>
    <x v="0"/>
    <d v="2024-07-21T00:00:00"/>
    <s v="Text"/>
    <s v="Check out our latest text on twitter!"/>
    <n v="2147"/>
    <n v="430"/>
    <n v="393"/>
    <n v="17176"/>
    <n v="16483"/>
    <n v="170"/>
    <n v="2970"/>
    <s v="#PepsiCoRefresh"/>
    <s v="#PepsiCoRefresh"/>
    <m/>
    <m/>
    <s v="Unassigned"/>
    <n v="0.17291569632044715"/>
  </r>
  <r>
    <s v="P130"/>
    <x v="1"/>
    <d v="2024-09-29T00:00:00"/>
    <s v="Reel"/>
    <s v="Check out our latest reel on youtube!"/>
    <n v="2936"/>
    <n v="439"/>
    <n v="44"/>
    <n v="38168"/>
    <n v="37571"/>
    <n v="22"/>
    <n v="3419"/>
    <s v="#ThirstyForMore"/>
    <s v="#ThirstyForMore"/>
    <m/>
    <m/>
    <s v="DailyWellness"/>
    <n v="8.9577656675749323E-2"/>
  </r>
  <r>
    <s v="P131"/>
    <x v="2"/>
    <d v="2024-10-21T00:00:00"/>
    <s v="Reel"/>
    <s v="Check out our latest reel on instagram!"/>
    <n v="4840"/>
    <n v="658"/>
    <n v="211"/>
    <n v="43560"/>
    <n v="43225"/>
    <n v="57"/>
    <n v="5709"/>
    <s v="#LiveForNow"/>
    <s v="#LiveForNow"/>
    <m/>
    <m/>
    <s v="NewYearRefresh"/>
    <n v="0.13106060606060607"/>
  </r>
  <r>
    <s v="P132"/>
    <x v="2"/>
    <d v="2025-03-04T00:00:00"/>
    <s v="Story"/>
    <s v="Check out our latest story on instagram!"/>
    <n v="1947"/>
    <n v="842"/>
    <n v="101"/>
    <n v="21417"/>
    <n v="20967"/>
    <n v="186"/>
    <n v="2890"/>
    <s v="#LiveForNow"/>
    <s v="#LiveForNow"/>
    <m/>
    <m/>
    <s v="FestiveRadiance"/>
    <n v="0.13493953401503478"/>
  </r>
  <r>
    <s v="P133"/>
    <x v="3"/>
    <d v="2025-02-06T00:00:00"/>
    <s v="Image"/>
    <s v="Check out our latest image on facebook!"/>
    <n v="2072"/>
    <n v="532"/>
    <n v="71"/>
    <n v="37296"/>
    <n v="36467"/>
    <n v="25"/>
    <n v="2675"/>
    <s v="#PepsiCoRefresh"/>
    <s v="#PepsiCoRefresh"/>
    <m/>
    <m/>
    <s v="DailyWellness"/>
    <n v="7.172350922350923E-2"/>
  </r>
  <r>
    <s v="P134"/>
    <x v="0"/>
    <d v="2025-04-24T00:00:00"/>
    <s v="Reel"/>
    <s v="Check out our latest reel on twitter!"/>
    <n v="3731"/>
    <n v="115"/>
    <n v="135"/>
    <n v="55965"/>
    <n v="55436"/>
    <n v="103"/>
    <n v="3981"/>
    <s v="#PepsiCoRefresh"/>
    <s v="#PepsiCoRefresh"/>
    <m/>
    <m/>
    <s v="SummerSplash"/>
    <n v="7.1133744304476013E-2"/>
  </r>
  <r>
    <s v="P135"/>
    <x v="3"/>
    <d v="2024-11-28T00:00:00"/>
    <s v="Text"/>
    <s v="Check out our latest text on facebook!"/>
    <n v="4213"/>
    <n v="253"/>
    <n v="434"/>
    <n v="75834"/>
    <n v="75437"/>
    <n v="272"/>
    <n v="4900"/>
    <s v="#LiveForNow"/>
    <s v="#LiveForNow"/>
    <m/>
    <m/>
    <s v="DailyWellness"/>
    <n v="6.461481657304112E-2"/>
  </r>
  <r>
    <s v="P136"/>
    <x v="2"/>
    <d v="2024-07-11T00:00:00"/>
    <s v="Text"/>
    <s v="Check out our latest text on instagram!"/>
    <n v="3134"/>
    <n v="888"/>
    <n v="444"/>
    <n v="21938"/>
    <n v="21337"/>
    <n v="130"/>
    <n v="4466"/>
    <s v="#ThirstyForMore"/>
    <s v="#ThirstyForMore"/>
    <m/>
    <m/>
    <s v="DailyWellness"/>
    <n v="0.20357370772176134"/>
  </r>
  <r>
    <s v="P137"/>
    <x v="3"/>
    <d v="2024-07-31T00:00:00"/>
    <s v="Video"/>
    <s v="Check out our latest video on facebook!"/>
    <n v="3008"/>
    <n v="94"/>
    <n v="37"/>
    <n v="15040"/>
    <n v="14639"/>
    <n v="277"/>
    <n v="3139"/>
    <s v="#LiveForNow"/>
    <s v="#LiveForNow"/>
    <m/>
    <m/>
    <s v="Unassigned"/>
    <n v="0.20871010638297871"/>
  </r>
  <r>
    <s v="P138"/>
    <x v="0"/>
    <d v="2025-03-29T00:00:00"/>
    <s v="Image"/>
    <s v="Check out our latest image on twitter!"/>
    <n v="305"/>
    <n v="187"/>
    <n v="243"/>
    <n v="4575"/>
    <n v="3704"/>
    <n v="234"/>
    <n v="735"/>
    <s v="#LiveForNow"/>
    <s v="#LiveForNow"/>
    <m/>
    <m/>
    <s v="NewYearRefresh"/>
    <n v="0.16065573770491803"/>
  </r>
  <r>
    <s v="P139"/>
    <x v="1"/>
    <d v="2024-10-29T00:00:00"/>
    <s v="Text"/>
    <s v="Check out our latest text on youtube!"/>
    <n v="2746"/>
    <n v="156"/>
    <n v="203"/>
    <n v="32952"/>
    <n v="32147"/>
    <n v="147"/>
    <n v="3105"/>
    <s v="#ThirstyForMore"/>
    <s v="#ThirstyForMore"/>
    <m/>
    <m/>
    <s v="SummerSplash"/>
    <n v="9.422796795338674E-2"/>
  </r>
  <r>
    <s v="P140"/>
    <x v="3"/>
    <d v="2024-07-15T00:00:00"/>
    <s v="Image"/>
    <s v="Check out our latest image on facebook!"/>
    <n v="2291"/>
    <n v="78"/>
    <n v="485"/>
    <n v="18328"/>
    <n v="18101"/>
    <n v="10"/>
    <n v="2854"/>
    <s v="#ThirstyForMore,#SmoothLikeNitroPepsi"/>
    <s v="#ThirstyForMore"/>
    <s v="#SmoothLikeNitroPepsi"/>
    <m/>
    <s v="FestiveRadiance"/>
    <n v="0.15571802706241816"/>
  </r>
  <r>
    <s v="P141"/>
    <x v="0"/>
    <d v="2024-08-31T00:00:00"/>
    <s v="Image"/>
    <s v="Check out our latest image on twitter!"/>
    <n v="3170"/>
    <n v="857"/>
    <n v="379"/>
    <n v="19020"/>
    <n v="18559"/>
    <n v="240"/>
    <n v="4406"/>
    <s v="#LiveForNow"/>
    <s v="#LiveForNow"/>
    <m/>
    <m/>
    <s v="Unassigned"/>
    <n v="0.2316508937960042"/>
  </r>
  <r>
    <s v="P142"/>
    <x v="1"/>
    <d v="2025-03-25T00:00:00"/>
    <s v="Story"/>
    <s v="Check out our latest story on youtube!"/>
    <n v="2070"/>
    <n v="275"/>
    <n v="386"/>
    <n v="39330"/>
    <n v="38627"/>
    <n v="114"/>
    <n v="2731"/>
    <s v="#LiveForNow"/>
    <s v="#LiveForNow"/>
    <m/>
    <m/>
    <s v="DailyWellness"/>
    <n v="6.9438087973557078E-2"/>
  </r>
  <r>
    <s v="P143"/>
    <x v="1"/>
    <d v="2024-10-02T00:00:00"/>
    <s v="Carousel"/>
    <s v="Check out our latest carousel on youtube!"/>
    <n v="80"/>
    <n v="362"/>
    <n v="80"/>
    <n v="1040"/>
    <n v="349"/>
    <n v="117"/>
    <n v="522"/>
    <s v="#PepsiCoRefresh"/>
    <s v="#PepsiCoRefresh"/>
    <m/>
    <m/>
    <s v="NewYearRefresh"/>
    <n v="0.50192307692307692"/>
  </r>
  <r>
    <s v="P144"/>
    <x v="1"/>
    <d v="2024-10-28T00:00:00"/>
    <s v="Story"/>
    <s v="Check out our latest story on youtube!"/>
    <n v="4929"/>
    <n v="749"/>
    <n v="452"/>
    <n v="93651"/>
    <n v="92810"/>
    <n v="66"/>
    <n v="6130"/>
    <s v="#ThirstyForMore"/>
    <s v="#ThirstyForMore"/>
    <m/>
    <m/>
    <s v="DailyWellness"/>
    <n v="6.5455787978772245E-2"/>
  </r>
  <r>
    <s v="P145"/>
    <x v="2"/>
    <d v="2024-08-12T00:00:00"/>
    <s v="Carousel"/>
    <s v="Check out our latest carousel on instagram!"/>
    <n v="1878"/>
    <n v="62"/>
    <n v="179"/>
    <n v="37560"/>
    <n v="36874"/>
    <n v="142"/>
    <n v="2119"/>
    <s v="#PepsiCoRefresh"/>
    <s v="#PepsiCoRefresh"/>
    <m/>
    <m/>
    <s v="DailyWellness"/>
    <n v="5.6416400425985093E-2"/>
  </r>
  <r>
    <s v="P146"/>
    <x v="1"/>
    <d v="2024-06-05T00:00:00"/>
    <s v="Reel"/>
    <s v="Check out our latest reel on youtube!"/>
    <n v="3065"/>
    <n v="772"/>
    <n v="142"/>
    <n v="18390"/>
    <n v="17875"/>
    <n v="200"/>
    <n v="3979"/>
    <s v="#ThirstyForMore,#AnytimeIsPepsiTime"/>
    <s v="#ThirstyForMore"/>
    <s v="#AnytimeIsPepsiTime"/>
    <m/>
    <s v="Unassigned"/>
    <n v="0.21636759108210984"/>
  </r>
  <r>
    <s v="P147"/>
    <x v="2"/>
    <d v="2024-10-21T00:00:00"/>
    <s v="Reel"/>
    <s v="Check out our latest reel on instagram!"/>
    <n v="3256"/>
    <n v="459"/>
    <n v="266"/>
    <n v="26048"/>
    <n v="25529"/>
    <n v="143"/>
    <n v="3981"/>
    <s v="#PepsiCoRefresh"/>
    <s v="#PepsiCoRefresh"/>
    <m/>
    <m/>
    <s v="FestiveRadiance"/>
    <n v="0.15283323095823095"/>
  </r>
  <r>
    <s v="P148"/>
    <x v="2"/>
    <d v="2025-04-15T00:00:00"/>
    <s v="Video"/>
    <s v="Check out our latest video on instagram!"/>
    <n v="4133"/>
    <n v="466"/>
    <n v="327"/>
    <n v="24798"/>
    <n v="24620"/>
    <n v="176"/>
    <n v="4926"/>
    <s v="#ThirstyForMore"/>
    <s v="#ThirstyForMore"/>
    <m/>
    <m/>
    <s v="DailyWellness"/>
    <n v="0.19864505202032423"/>
  </r>
  <r>
    <s v="P149"/>
    <x v="0"/>
    <d v="2024-06-16T00:00:00"/>
    <s v="Video"/>
    <s v="Check out our latest video on twitter!"/>
    <n v="1702"/>
    <n v="750"/>
    <n v="179"/>
    <n v="34040"/>
    <n v="33174"/>
    <n v="76"/>
    <n v="2631"/>
    <s v="#ThirstyForMore"/>
    <s v="#ThirstyForMore"/>
    <m/>
    <m/>
    <s v="SummerSplash"/>
    <n v="7.7291421856639245E-2"/>
  </r>
  <r>
    <s v="P150"/>
    <x v="1"/>
    <d v="2024-08-22T00:00:00"/>
    <s v="Carousel"/>
    <s v="Check out our latest carousel on youtube!"/>
    <n v="4295"/>
    <n v="853"/>
    <n v="325"/>
    <n v="85900"/>
    <n v="85788"/>
    <n v="290"/>
    <n v="5473"/>
    <s v="#PepsiCoRefresh"/>
    <s v="#PepsiCoRefresh"/>
    <m/>
    <m/>
    <s v="DailyWellness"/>
    <n v="6.3713620488940623E-2"/>
  </r>
  <r>
    <s v="P151"/>
    <x v="2"/>
    <d v="2024-07-26T00:00:00"/>
    <s v="Image"/>
    <s v="Check out our latest image on instagram!"/>
    <n v="3559"/>
    <n v="59"/>
    <n v="289"/>
    <n v="35590"/>
    <n v="35105"/>
    <n v="122"/>
    <n v="3907"/>
    <s v="#ThirstyForMore"/>
    <s v="#ThirstyForMore"/>
    <m/>
    <m/>
    <s v="SummerSplash"/>
    <n v="0.10977802753582468"/>
  </r>
  <r>
    <s v="P152"/>
    <x v="3"/>
    <d v="2025-04-22T00:00:00"/>
    <s v="Image"/>
    <s v="Check out our latest image on facebook!"/>
    <n v="4804"/>
    <n v="550"/>
    <n v="270"/>
    <n v="28824"/>
    <n v="28370"/>
    <n v="47"/>
    <n v="5624"/>
    <s v="#ThirstyForMore"/>
    <s v="#ThirstyForMore"/>
    <m/>
    <m/>
    <s v="DailyWellness"/>
    <n v="0.19511518179295032"/>
  </r>
  <r>
    <s v="P153"/>
    <x v="0"/>
    <d v="2025-01-01T00:00:00"/>
    <s v="Video"/>
    <s v="Check out our latest video on twitter!"/>
    <n v="754"/>
    <n v="197"/>
    <n v="257"/>
    <n v="6786"/>
    <n v="6221"/>
    <n v="212"/>
    <n v="1208"/>
    <s v="#PepsiCoRefresh"/>
    <s v="#PepsiCoRefresh"/>
    <m/>
    <m/>
    <s v="NewYearRefresh"/>
    <n v="0.17801355732390214"/>
  </r>
  <r>
    <s v="P154"/>
    <x v="2"/>
    <d v="2024-10-09T00:00:00"/>
    <s v="Carousel"/>
    <s v="Check out our latest carousel on instagram!"/>
    <n v="985"/>
    <n v="932"/>
    <n v="287"/>
    <n v="6895"/>
    <n v="6757"/>
    <n v="64"/>
    <n v="2204"/>
    <s v="#LiveForNow"/>
    <s v="#LiveForNow"/>
    <m/>
    <m/>
    <s v="DailyWellness"/>
    <n v="0.31965192168237855"/>
  </r>
  <r>
    <s v="P155"/>
    <x v="1"/>
    <d v="2024-12-21T00:00:00"/>
    <s v="Image"/>
    <s v="Check out our latest image on youtube!"/>
    <n v="2283"/>
    <n v="210"/>
    <n v="130"/>
    <n v="22830"/>
    <n v="22617"/>
    <n v="143"/>
    <n v="2623"/>
    <s v="#LiveForNow"/>
    <s v="#LiveForNow"/>
    <m/>
    <m/>
    <s v="FestiveRadiance"/>
    <n v="0.11489268506351293"/>
  </r>
  <r>
    <s v="P156"/>
    <x v="3"/>
    <d v="2024-10-22T00:00:00"/>
    <s v="Carousel"/>
    <s v="Check out our latest carousel on facebook!"/>
    <n v="3352"/>
    <n v="941"/>
    <n v="482"/>
    <n v="43576"/>
    <n v="43338"/>
    <n v="240"/>
    <n v="4775"/>
    <s v="#LiveForNow"/>
    <s v="#LiveForNow"/>
    <m/>
    <m/>
    <s v="FestiveRadiance"/>
    <n v="0.1095786671562328"/>
  </r>
  <r>
    <s v="P157"/>
    <x v="1"/>
    <d v="2024-07-23T00:00:00"/>
    <s v="Story"/>
    <s v="Check out our latest story on youtube!"/>
    <n v="4775"/>
    <n v="173"/>
    <n v="206"/>
    <n v="47750"/>
    <n v="47544"/>
    <n v="187"/>
    <n v="5154"/>
    <s v="#LiveForNow"/>
    <s v="#LiveForNow"/>
    <m/>
    <m/>
    <s v="FestiveRadiance"/>
    <n v="0.10793717277486911"/>
  </r>
  <r>
    <s v="P158"/>
    <x v="2"/>
    <d v="2024-08-11T00:00:00"/>
    <s v="Story"/>
    <s v="Check out our latest story on instagram!"/>
    <n v="1762"/>
    <n v="405"/>
    <n v="423"/>
    <n v="22906"/>
    <n v="21925"/>
    <n v="25"/>
    <n v="2590"/>
    <s v="#PepsiCoRefresh"/>
    <s v="#PepsiCoRefresh"/>
    <m/>
    <m/>
    <s v="SummerSplash"/>
    <n v="0.11307081114118571"/>
  </r>
  <r>
    <s v="P159"/>
    <x v="3"/>
    <d v="2024-11-25T00:00:00"/>
    <s v="Story"/>
    <s v="Check out our latest story on facebook!"/>
    <n v="2120"/>
    <n v="158"/>
    <n v="488"/>
    <n v="12720"/>
    <n v="12085"/>
    <n v="17"/>
    <n v="2766"/>
    <s v="#LiveForNow"/>
    <s v="#LiveForNow"/>
    <m/>
    <m/>
    <s v="FestiveRadiance"/>
    <n v="0.21745283018867925"/>
  </r>
  <r>
    <s v="P160"/>
    <x v="0"/>
    <d v="2024-08-24T00:00:00"/>
    <s v="Video"/>
    <s v="Check out our latest video on twitter!"/>
    <n v="1082"/>
    <n v="209"/>
    <n v="484"/>
    <n v="19476"/>
    <n v="18654"/>
    <n v="20"/>
    <n v="1775"/>
    <s v="#PepsiCoRefresh"/>
    <s v="#PepsiCoRefresh"/>
    <m/>
    <m/>
    <s v="Unassigned"/>
    <n v="9.1137810638734856E-2"/>
  </r>
  <r>
    <s v="P161"/>
    <x v="0"/>
    <d v="2025-02-19T00:00:00"/>
    <s v="Text"/>
    <s v="Check out our latest text on twitter!"/>
    <n v="4671"/>
    <n v="876"/>
    <n v="366"/>
    <n v="51381"/>
    <n v="50565"/>
    <n v="245"/>
    <n v="5913"/>
    <s v="#PepsiCoRefresh"/>
    <s v="#PepsiCoRefresh"/>
    <m/>
    <m/>
    <s v="DailyWellness"/>
    <n v="0.11508145034156594"/>
  </r>
  <r>
    <s v="P162"/>
    <x v="3"/>
    <d v="2025-04-01T00:00:00"/>
    <s v="Story"/>
    <s v="Check out our latest story on facebook!"/>
    <n v="3430"/>
    <n v="566"/>
    <n v="164"/>
    <n v="48020"/>
    <n v="47305"/>
    <n v="120"/>
    <n v="4160"/>
    <s v="#LiveForNow"/>
    <s v="#LiveForNow"/>
    <m/>
    <m/>
    <s v="Unassigned"/>
    <n v="8.6630570595585168E-2"/>
  </r>
  <r>
    <s v="P163"/>
    <x v="2"/>
    <d v="2025-04-08T00:00:00"/>
    <s v="Image"/>
    <s v="Check out our latest image on instagram!"/>
    <n v="4501"/>
    <n v="375"/>
    <n v="323"/>
    <n v="22505"/>
    <n v="21836"/>
    <n v="132"/>
    <n v="5199"/>
    <s v="#PepsiCoRefresh"/>
    <s v="#PepsiCoRefresh"/>
    <m/>
    <m/>
    <s v="FestiveRadiance"/>
    <n v="0.23101532992668297"/>
  </r>
  <r>
    <s v="P164"/>
    <x v="1"/>
    <d v="2025-02-27T00:00:00"/>
    <s v="Text"/>
    <s v="Check out our latest text on youtube!"/>
    <n v="4934"/>
    <n v="971"/>
    <n v="156"/>
    <n v="39472"/>
    <n v="39025"/>
    <n v="169"/>
    <n v="6061"/>
    <s v="#PepsiCoRefresh,#AnytimeIsPepsiTime"/>
    <s v="#PepsiCoRefresh"/>
    <s v="#AnytimeIsPepsiTime"/>
    <m/>
    <s v="DailyWellness"/>
    <n v="0.15355188488042157"/>
  </r>
  <r>
    <s v="P165"/>
    <x v="0"/>
    <d v="2024-12-11T00:00:00"/>
    <s v="Text"/>
    <s v="Check out our latest text on twitter!"/>
    <n v="3239"/>
    <n v="43"/>
    <n v="211"/>
    <n v="22673"/>
    <n v="22171"/>
    <n v="230"/>
    <n v="3493"/>
    <s v="#PepsiCoRefresh"/>
    <s v="#PepsiCoRefresh"/>
    <m/>
    <m/>
    <s v="FestiveRadiance"/>
    <n v="0.15405989502933004"/>
  </r>
  <r>
    <s v="P166"/>
    <x v="0"/>
    <d v="2025-02-16T00:00:00"/>
    <s v="Reel"/>
    <s v="Check out our latest reel on twitter!"/>
    <n v="1076"/>
    <n v="313"/>
    <n v="306"/>
    <n v="11836"/>
    <n v="11596"/>
    <n v="104"/>
    <n v="1695"/>
    <s v="#LiveForNow"/>
    <s v="#LiveForNow"/>
    <m/>
    <m/>
    <s v="SummerSplash"/>
    <n v="0.14320716458262928"/>
  </r>
  <r>
    <s v="P167"/>
    <x v="2"/>
    <d v="2024-11-28T00:00:00"/>
    <s v="Text"/>
    <s v="Check out our latest text on instagram!"/>
    <n v="4771"/>
    <n v="818"/>
    <n v="56"/>
    <n v="57252"/>
    <n v="56378"/>
    <n v="150"/>
    <n v="5645"/>
    <s v="#LiveForNow"/>
    <s v="#LiveForNow"/>
    <m/>
    <m/>
    <s v="Unassigned"/>
    <n v="9.859917557465242E-2"/>
  </r>
  <r>
    <s v="P168"/>
    <x v="3"/>
    <d v="2024-11-12T00:00:00"/>
    <s v="Text"/>
    <s v="Check out our latest text on facebook!"/>
    <n v="2418"/>
    <n v="754"/>
    <n v="54"/>
    <n v="43524"/>
    <n v="42743"/>
    <n v="182"/>
    <n v="3226"/>
    <s v="#ThirstyForMore"/>
    <s v="#ThirstyForMore"/>
    <m/>
    <m/>
    <s v="SummerSplash"/>
    <n v="7.412002573292896E-2"/>
  </r>
  <r>
    <s v="P169"/>
    <x v="1"/>
    <d v="2024-12-03T00:00:00"/>
    <s v="Video"/>
    <s v="Check out our latest video on youtube!"/>
    <n v="3809"/>
    <n v="273"/>
    <n v="200"/>
    <n v="34281"/>
    <n v="33534"/>
    <n v="83"/>
    <n v="4282"/>
    <s v="#ThirstyForMore"/>
    <s v="#ThirstyForMore"/>
    <m/>
    <m/>
    <s v="SummerSplash"/>
    <n v="0.12490884163239112"/>
  </r>
  <r>
    <s v="P170"/>
    <x v="0"/>
    <d v="2025-04-28T00:00:00"/>
    <s v="Text"/>
    <s v="Check out our latest text on twitter!"/>
    <n v="3577"/>
    <n v="596"/>
    <n v="493"/>
    <n v="67963"/>
    <n v="67839"/>
    <n v="53"/>
    <n v="4666"/>
    <s v="#PepsiCoRefresh"/>
    <s v="#PepsiCoRefresh"/>
    <m/>
    <m/>
    <s v="NewYearRefresh"/>
    <n v="6.8655003457763777E-2"/>
  </r>
  <r>
    <s v="P171"/>
    <x v="1"/>
    <d v="2024-12-31T00:00:00"/>
    <s v="Video"/>
    <s v="Check out our latest video on youtube!"/>
    <n v="1018"/>
    <n v="447"/>
    <n v="332"/>
    <n v="18324"/>
    <n v="18164"/>
    <n v="38"/>
    <n v="1797"/>
    <s v="#LiveForNow"/>
    <s v="#LiveForNow"/>
    <m/>
    <m/>
    <s v="FestiveRadiance"/>
    <n v="9.8068107400130972E-2"/>
  </r>
  <r>
    <s v="P172"/>
    <x v="3"/>
    <d v="2024-08-14T00:00:00"/>
    <s v="Carousel"/>
    <s v="Check out our latest carousel on facebook!"/>
    <n v="3073"/>
    <n v="553"/>
    <n v="174"/>
    <n v="52241"/>
    <n v="51605"/>
    <n v="246"/>
    <n v="3800"/>
    <s v="#ThirstyForMore"/>
    <s v="#ThirstyForMore"/>
    <m/>
    <m/>
    <s v="NewYearRefresh"/>
    <n v="7.2739802071170159E-2"/>
  </r>
  <r>
    <s v="P173"/>
    <x v="0"/>
    <d v="2024-12-05T00:00:00"/>
    <s v="Video"/>
    <s v="Check out our latest video on twitter!"/>
    <n v="1330"/>
    <n v="925"/>
    <n v="35"/>
    <n v="15960"/>
    <n v="15379"/>
    <n v="229"/>
    <n v="2290"/>
    <s v="#LiveForNow"/>
    <s v="#LiveForNow"/>
    <m/>
    <m/>
    <s v="NewYearRefresh"/>
    <n v="0.14348370927318296"/>
  </r>
  <r>
    <s v="P174"/>
    <x v="3"/>
    <d v="2024-06-22T00:00:00"/>
    <s v="Text"/>
    <s v="Check out our latest text on facebook!"/>
    <n v="3828"/>
    <n v="148"/>
    <n v="253"/>
    <n v="30624"/>
    <n v="30229"/>
    <n v="235"/>
    <n v="4229"/>
    <s v="#ThirstyForMore"/>
    <s v="#ThirstyForMore"/>
    <m/>
    <m/>
    <s v="Unassigned"/>
    <n v="0.13809430512016718"/>
  </r>
  <r>
    <s v="P175"/>
    <x v="2"/>
    <d v="2025-01-17T00:00:00"/>
    <s v="Reel"/>
    <s v="Check out our latest reel on instagram!"/>
    <n v="142"/>
    <n v="784"/>
    <n v="183"/>
    <n v="1704"/>
    <n v="995"/>
    <n v="154"/>
    <n v="1109"/>
    <s v="#LiveForNow"/>
    <s v="#LiveForNow"/>
    <m/>
    <m/>
    <s v="DailyWellness"/>
    <n v="0.6508215962441315"/>
  </r>
  <r>
    <s v="P176"/>
    <x v="3"/>
    <d v="2024-06-20T00:00:00"/>
    <s v="Video"/>
    <s v="Check out our latest video on facebook!"/>
    <n v="3798"/>
    <n v="31"/>
    <n v="279"/>
    <n v="75960"/>
    <n v="75813"/>
    <n v="266"/>
    <n v="4108"/>
    <s v="#PepsiCoRefresh"/>
    <s v="#PepsiCoRefresh"/>
    <m/>
    <m/>
    <s v="SummerSplash"/>
    <n v="5.4081095313322801E-2"/>
  </r>
  <r>
    <s v="P177"/>
    <x v="2"/>
    <d v="2024-07-10T00:00:00"/>
    <s v="Carousel"/>
    <s v="Check out our latest carousel on instagram!"/>
    <n v="3099"/>
    <n v="694"/>
    <n v="171"/>
    <n v="43386"/>
    <n v="42921"/>
    <n v="52"/>
    <n v="3964"/>
    <s v="#PepsiCoRefresh"/>
    <s v="#PepsiCoRefresh"/>
    <m/>
    <m/>
    <s v="NewYearRefresh"/>
    <n v="9.1365878393951966E-2"/>
  </r>
  <r>
    <s v="P178"/>
    <x v="2"/>
    <d v="2024-11-07T00:00:00"/>
    <s v="Video"/>
    <s v="Check out our latest video on instagram!"/>
    <n v="129"/>
    <n v="643"/>
    <n v="136"/>
    <n v="1290"/>
    <n v="839"/>
    <n v="238"/>
    <n v="908"/>
    <s v="#PepsiCoRefresh"/>
    <s v="#PepsiCoRefresh"/>
    <m/>
    <m/>
    <s v="DailyWellness"/>
    <n v="0.70387596899224802"/>
  </r>
  <r>
    <s v="P179"/>
    <x v="3"/>
    <d v="2024-07-15T00:00:00"/>
    <s v="Carousel"/>
    <s v="Check out our latest carousel on facebook!"/>
    <n v="3796"/>
    <n v="667"/>
    <n v="395"/>
    <n v="64532"/>
    <n v="63550"/>
    <n v="292"/>
    <n v="4858"/>
    <s v="#PepsiCoRefresh"/>
    <s v="#PepsiCoRefresh"/>
    <m/>
    <m/>
    <s v="Unassigned"/>
    <n v="7.5280481001673588E-2"/>
  </r>
  <r>
    <s v="P180"/>
    <x v="1"/>
    <d v="2024-12-03T00:00:00"/>
    <s v="Text"/>
    <s v="Check out our latest text on youtube!"/>
    <n v="3711"/>
    <n v="352"/>
    <n v="290"/>
    <n v="48243"/>
    <n v="47579"/>
    <n v="11"/>
    <n v="4353"/>
    <s v="#PepsiCoRefresh"/>
    <s v="#PepsiCoRefresh"/>
    <m/>
    <m/>
    <s v="SummerSplash"/>
    <n v="9.023070704558174E-2"/>
  </r>
  <r>
    <s v="P181"/>
    <x v="1"/>
    <d v="2025-03-21T00:00:00"/>
    <s v="Image"/>
    <s v="Check out our latest image on youtube!"/>
    <n v="606"/>
    <n v="789"/>
    <n v="470"/>
    <n v="7878"/>
    <n v="7389"/>
    <n v="239"/>
    <n v="1865"/>
    <s v="#ThirstyForMore"/>
    <s v="#ThirstyForMore"/>
    <m/>
    <m/>
    <s v="NewYearRefresh"/>
    <n v="0.23673521198273673"/>
  </r>
  <r>
    <s v="P182"/>
    <x v="3"/>
    <d v="2024-07-31T00:00:00"/>
    <s v="Image"/>
    <s v="Check out our latest image on facebook!"/>
    <n v="4689"/>
    <n v="134"/>
    <n v="403"/>
    <n v="51579"/>
    <n v="50924"/>
    <n v="173"/>
    <n v="5226"/>
    <s v="#PepsiCoRefresh"/>
    <s v="#PepsiCoRefresh"/>
    <m/>
    <m/>
    <s v="DailyWellness"/>
    <n v="0.10132030477519921"/>
  </r>
  <r>
    <s v="P183"/>
    <x v="2"/>
    <d v="2024-12-17T00:00:00"/>
    <s v="Story"/>
    <s v="Check out our latest story on instagram!"/>
    <n v="360"/>
    <n v="590"/>
    <n v="393"/>
    <n v="4680"/>
    <n v="4322"/>
    <n v="208"/>
    <n v="1343"/>
    <s v="#LiveForNow"/>
    <s v="#LiveForNow"/>
    <m/>
    <m/>
    <s v="FestiveRadiance"/>
    <n v="0.28696581196581195"/>
  </r>
  <r>
    <s v="P184"/>
    <x v="0"/>
    <d v="2024-07-28T00:00:00"/>
    <s v="Image"/>
    <s v="Check out our latest image on twitter!"/>
    <n v="3215"/>
    <n v="960"/>
    <n v="202"/>
    <n v="32150"/>
    <n v="31404"/>
    <n v="251"/>
    <n v="4377"/>
    <s v="#ThirstyForMore"/>
    <s v="#ThirstyForMore"/>
    <m/>
    <m/>
    <s v="SummerSplash"/>
    <n v="0.13614307931570763"/>
  </r>
  <r>
    <s v="P185"/>
    <x v="2"/>
    <d v="2025-01-11T00:00:00"/>
    <s v="Carousel"/>
    <s v="Check out our latest carousel on instagram!"/>
    <n v="4523"/>
    <n v="61"/>
    <n v="157"/>
    <n v="49753"/>
    <n v="49329"/>
    <n v="71"/>
    <n v="4741"/>
    <s v="#ThirstyForMore"/>
    <s v="#ThirstyForMore"/>
    <m/>
    <m/>
    <s v="Unassigned"/>
    <n v="9.5290736237010829E-2"/>
  </r>
  <r>
    <s v="P186"/>
    <x v="3"/>
    <d v="2024-08-24T00:00:00"/>
    <s v="Carousel"/>
    <s v="Check out our latest carousel on facebook!"/>
    <n v="4292"/>
    <n v="51"/>
    <n v="392"/>
    <n v="55796"/>
    <n v="54826"/>
    <n v="264"/>
    <n v="4735"/>
    <s v="#ThirstyForMore"/>
    <s v="#ThirstyForMore"/>
    <m/>
    <m/>
    <s v="NewYearRefresh"/>
    <n v="8.4862714173059003E-2"/>
  </r>
  <r>
    <s v="P187"/>
    <x v="0"/>
    <d v="2024-12-22T00:00:00"/>
    <s v="Reel"/>
    <s v="Check out our latest reel on twitter!"/>
    <n v="1644"/>
    <n v="546"/>
    <n v="150"/>
    <n v="27948"/>
    <n v="27184"/>
    <n v="300"/>
    <n v="2340"/>
    <s v="#ThirstyForMore"/>
    <s v="#ThirstyForMore"/>
    <m/>
    <m/>
    <s v="NewYearRefresh"/>
    <n v="8.3726921425504502E-2"/>
  </r>
  <r>
    <s v="P188"/>
    <x v="1"/>
    <d v="2024-06-06T00:00:00"/>
    <s v="Reel"/>
    <s v="Check out our latest reel on youtube!"/>
    <n v="2728"/>
    <n v="533"/>
    <n v="215"/>
    <n v="40920"/>
    <n v="40816"/>
    <n v="137"/>
    <n v="3476"/>
    <s v="#LiveForNow"/>
    <s v="#LiveForNow"/>
    <m/>
    <m/>
    <s v="FestiveRadiance"/>
    <n v="8.4946236559139784E-2"/>
  </r>
  <r>
    <s v="P189"/>
    <x v="3"/>
    <d v="2025-03-24T00:00:00"/>
    <s v="Reel"/>
    <s v="Check out our latest reel on facebook!"/>
    <n v="3360"/>
    <n v="525"/>
    <n v="500"/>
    <n v="60480"/>
    <n v="59610"/>
    <n v="192"/>
    <n v="4385"/>
    <s v="#PepsiCoRefresh"/>
    <s v="#PepsiCoRefresh"/>
    <m/>
    <m/>
    <s v="SummerSplash"/>
    <n v="7.2503306878306875E-2"/>
  </r>
  <r>
    <s v="P190"/>
    <x v="1"/>
    <d v="2024-10-04T00:00:00"/>
    <s v="Text"/>
    <s v="Check out our latest text on youtube!"/>
    <n v="1963"/>
    <n v="213"/>
    <n v="19"/>
    <n v="39260"/>
    <n v="38771"/>
    <n v="145"/>
    <n v="2195"/>
    <s v="#LiveForNow"/>
    <s v="#LiveForNow"/>
    <m/>
    <m/>
    <s v="Unassigned"/>
    <n v="5.5909322465613857E-2"/>
  </r>
  <r>
    <s v="P191"/>
    <x v="1"/>
    <d v="2024-12-03T00:00:00"/>
    <s v="Story"/>
    <s v="Check out our latest story on youtube!"/>
    <n v="4285"/>
    <n v="886"/>
    <n v="376"/>
    <n v="55705"/>
    <n v="55556"/>
    <n v="51"/>
    <n v="5547"/>
    <s v="#LiveForNow"/>
    <s v="#LiveForNow"/>
    <m/>
    <m/>
    <s v="NewYearRefresh"/>
    <n v="9.9578134817341346E-2"/>
  </r>
  <r>
    <s v="P192"/>
    <x v="2"/>
    <d v="2024-11-29T00:00:00"/>
    <s v="Video"/>
    <s v="Check out our latest video on instagram!"/>
    <n v="1176"/>
    <n v="464"/>
    <n v="394"/>
    <n v="14112"/>
    <n v="13588"/>
    <n v="272"/>
    <n v="2034"/>
    <s v="#ThirstyForMore"/>
    <s v="#ThirstyForMore"/>
    <m/>
    <m/>
    <s v="Unassigned"/>
    <n v="0.1441326530612245"/>
  </r>
  <r>
    <s v="P193"/>
    <x v="0"/>
    <d v="2024-09-11T00:00:00"/>
    <s v="Image"/>
    <s v="Check out our latest image on twitter!"/>
    <n v="4858"/>
    <n v="317"/>
    <n v="129"/>
    <n v="53438"/>
    <n v="52687"/>
    <n v="223"/>
    <n v="5304"/>
    <s v="#ThirstyForMore"/>
    <s v="#ThirstyForMore"/>
    <m/>
    <m/>
    <s v="NewYearRefresh"/>
    <n v="9.9255211647142488E-2"/>
  </r>
  <r>
    <s v="P194"/>
    <x v="1"/>
    <d v="2024-10-02T00:00:00"/>
    <s v="Story"/>
    <s v="Check out our latest story on youtube!"/>
    <n v="4350"/>
    <n v="771"/>
    <n v="7"/>
    <n v="60900"/>
    <n v="60592"/>
    <n v="195"/>
    <n v="5128"/>
    <s v="#ThirstyForMore"/>
    <s v="#ThirstyForMore"/>
    <m/>
    <m/>
    <s v="SummerSplash"/>
    <n v="8.4203612479474554E-2"/>
  </r>
  <r>
    <s v="P195"/>
    <x v="2"/>
    <d v="2024-08-15T00:00:00"/>
    <s v="Carousel"/>
    <s v="Check out our latest carousel on instagram!"/>
    <n v="914"/>
    <n v="464"/>
    <n v="246"/>
    <n v="11882"/>
    <n v="11500"/>
    <n v="282"/>
    <n v="1624"/>
    <s v="#LiveForNow,#PepsiCoRefresh,#AnytimeIsPepsiTime"/>
    <s v="#LiveForNow"/>
    <s v="#PepsiCoRefresh"/>
    <s v="#AnytimeIsPepsiTime"/>
    <s v="DailyWellness"/>
    <n v="0.13667732704931829"/>
  </r>
  <r>
    <s v="P196"/>
    <x v="2"/>
    <d v="2024-12-19T00:00:00"/>
    <s v="Text"/>
    <s v="Check out our latest text on instagram!"/>
    <n v="1813"/>
    <n v="623"/>
    <n v="72"/>
    <n v="19943"/>
    <n v="18959"/>
    <n v="85"/>
    <n v="2508"/>
    <s v="#ThirstyForMore"/>
    <s v="#ThirstyForMore"/>
    <m/>
    <m/>
    <s v="NewYearRefresh"/>
    <n v="0.12575841147269717"/>
  </r>
  <r>
    <s v="P197"/>
    <x v="0"/>
    <d v="2024-10-22T00:00:00"/>
    <s v="Reel"/>
    <s v="Check out our latest reel on twitter!"/>
    <n v="4782"/>
    <n v="721"/>
    <n v="82"/>
    <n v="86076"/>
    <n v="85339"/>
    <n v="19"/>
    <n v="5585"/>
    <s v="#ThirstyForMore"/>
    <s v="#ThirstyForMore"/>
    <m/>
    <m/>
    <s v="SummerSplash"/>
    <n v="6.4884520656164318E-2"/>
  </r>
  <r>
    <s v="P198"/>
    <x v="0"/>
    <d v="2024-09-14T00:00:00"/>
    <s v="Image"/>
    <s v="Check out our latest image on twitter!"/>
    <n v="1048"/>
    <n v="374"/>
    <n v="450"/>
    <n v="9432"/>
    <n v="8882"/>
    <n v="158"/>
    <n v="1872"/>
    <s v="#PepsiCoRefresh"/>
    <s v="#PepsiCoRefresh"/>
    <m/>
    <m/>
    <s v="NewYearRefresh"/>
    <n v="0.19847328244274809"/>
  </r>
  <r>
    <s v="P199"/>
    <x v="1"/>
    <d v="2024-11-30T00:00:00"/>
    <s v="Carousel"/>
    <s v="Check out our latest carousel on youtube!"/>
    <n v="2509"/>
    <n v="324"/>
    <n v="171"/>
    <n v="35126"/>
    <n v="34685"/>
    <n v="277"/>
    <n v="3004"/>
    <s v="#PepsiCoRefresh"/>
    <s v="#PepsiCoRefresh"/>
    <m/>
    <m/>
    <s v="FestiveRadiance"/>
    <n v="8.5520696919660646E-2"/>
  </r>
  <r>
    <s v="P200"/>
    <x v="3"/>
    <d v="2025-04-07T00:00:00"/>
    <s v="Reel"/>
    <s v="Check out our latest reel on facebook!"/>
    <n v="3718"/>
    <n v="385"/>
    <n v="310"/>
    <n v="70642"/>
    <n v="69749"/>
    <n v="233"/>
    <n v="4413"/>
    <s v="#PepsiCoRefresh"/>
    <s v="#PepsiCoRefresh"/>
    <m/>
    <m/>
    <s v="FestiveRadiance"/>
    <n v="6.246991874522239E-2"/>
  </r>
  <r>
    <s v="P201"/>
    <x v="0"/>
    <d v="2025-01-15T00:00:00"/>
    <s v="Reel"/>
    <s v="Check out our latest reel on twitter!"/>
    <n v="802"/>
    <n v="262"/>
    <n v="244"/>
    <n v="14436"/>
    <n v="14280"/>
    <n v="49"/>
    <n v="1308"/>
    <s v="#ThirstyForMore"/>
    <s v="#ThirstyForMore"/>
    <m/>
    <m/>
    <s v="SummerSplash"/>
    <n v="9.0606816292601824E-2"/>
  </r>
  <r>
    <s v="P202"/>
    <x v="3"/>
    <d v="2024-06-02T00:00:00"/>
    <s v="Image"/>
    <s v="Check out our latest image on facebook!"/>
    <n v="1871"/>
    <n v="252"/>
    <n v="335"/>
    <n v="29936"/>
    <n v="29576"/>
    <n v="288"/>
    <n v="2458"/>
    <s v="#ThirstyForMore"/>
    <s v="#ThirstyForMore"/>
    <m/>
    <m/>
    <s v="NewYearRefresh"/>
    <n v="8.2108498129342594E-2"/>
  </r>
  <r>
    <s v="P203"/>
    <x v="2"/>
    <d v="2024-11-21T00:00:00"/>
    <s v="Carousel"/>
    <s v="Check out our latest carousel on instagram!"/>
    <n v="3773"/>
    <n v="299"/>
    <n v="38"/>
    <n v="71687"/>
    <n v="71447"/>
    <n v="286"/>
    <n v="4110"/>
    <s v="#LiveForNow"/>
    <s v="#LiveForNow"/>
    <m/>
    <m/>
    <s v="SummerSplash"/>
    <n v="5.7332570758993957E-2"/>
  </r>
  <r>
    <s v="P204"/>
    <x v="2"/>
    <d v="2025-01-01T00:00:00"/>
    <s v="Carousel"/>
    <s v="Check out our latest carousel on instagram!"/>
    <n v="2234"/>
    <n v="653"/>
    <n v="432"/>
    <n v="11170"/>
    <n v="10569"/>
    <n v="198"/>
    <n v="3319"/>
    <s v="#LiveForNow"/>
    <s v="#LiveForNow"/>
    <m/>
    <m/>
    <s v="NewYearRefresh"/>
    <n v="0.29713518352730528"/>
  </r>
  <r>
    <s v="P205"/>
    <x v="0"/>
    <d v="2025-04-24T00:00:00"/>
    <s v="Video"/>
    <s v="Check out our latest video on twitter!"/>
    <n v="3820"/>
    <n v="697"/>
    <n v="268"/>
    <n v="45840"/>
    <n v="45631"/>
    <n v="171"/>
    <n v="4785"/>
    <s v="#PepsiCoRefresh,#SmoothLikeNitroPepsi"/>
    <s v="#PepsiCoRefresh"/>
    <s v="#SmoothLikeNitroPepsi"/>
    <m/>
    <s v="DailyWellness"/>
    <n v="0.1043848167539267"/>
  </r>
  <r>
    <s v="P206"/>
    <x v="0"/>
    <d v="2024-06-24T00:00:00"/>
    <s v="Text"/>
    <s v="Check out our latest text on twitter!"/>
    <n v="941"/>
    <n v="121"/>
    <n v="458"/>
    <n v="14115"/>
    <n v="13838"/>
    <n v="87"/>
    <n v="1520"/>
    <s v="#ThirstyForMore"/>
    <s v="#ThirstyForMore"/>
    <m/>
    <m/>
    <s v="SummerSplash"/>
    <n v="0.10768685795253277"/>
  </r>
  <r>
    <s v="P207"/>
    <x v="0"/>
    <d v="2024-12-29T00:00:00"/>
    <s v="Carousel"/>
    <s v="Check out our latest carousel on twitter!"/>
    <n v="4274"/>
    <n v="340"/>
    <n v="281"/>
    <n v="34192"/>
    <n v="33446"/>
    <n v="129"/>
    <n v="4895"/>
    <s v="#PepsiCoRefresh,#SmoothLikeNitroPepsi"/>
    <s v="#PepsiCoRefresh"/>
    <s v="#SmoothLikeNitroPepsi"/>
    <m/>
    <s v="NewYearRefresh"/>
    <n v="0.14316214319138981"/>
  </r>
  <r>
    <s v="P208"/>
    <x v="1"/>
    <d v="2024-06-24T00:00:00"/>
    <s v="Video"/>
    <s v="Check out our latest video on youtube!"/>
    <n v="2949"/>
    <n v="476"/>
    <n v="403"/>
    <n v="44235"/>
    <n v="43705"/>
    <n v="135"/>
    <n v="3828"/>
    <s v="#PepsiCoRefresh"/>
    <s v="#PepsiCoRefresh"/>
    <m/>
    <m/>
    <s v="FestiveRadiance"/>
    <n v="8.6537809426924378E-2"/>
  </r>
  <r>
    <s v="P209"/>
    <x v="0"/>
    <d v="2025-03-19T00:00:00"/>
    <s v="Video"/>
    <s v="Check out our latest video on twitter!"/>
    <n v="3160"/>
    <n v="204"/>
    <n v="297"/>
    <n v="44240"/>
    <n v="43666"/>
    <n v="49"/>
    <n v="3661"/>
    <s v="#LiveForNow,#AnytimeIsPepsiTime"/>
    <s v="#LiveForNow"/>
    <s v="#AnytimeIsPepsiTime"/>
    <m/>
    <s v="DailyWellness"/>
    <n v="8.2753164556962022E-2"/>
  </r>
  <r>
    <s v="P210"/>
    <x v="1"/>
    <d v="2025-02-19T00:00:00"/>
    <s v="Image"/>
    <s v="Check out our latest image on youtube!"/>
    <n v="257"/>
    <n v="966"/>
    <n v="398"/>
    <n v="3341"/>
    <n v="2753"/>
    <n v="287"/>
    <n v="1621"/>
    <s v="#LiveForNow"/>
    <s v="#LiveForNow"/>
    <m/>
    <m/>
    <s v="SummerSplash"/>
    <n v="0.48518407662376534"/>
  </r>
  <r>
    <s v="P211"/>
    <x v="0"/>
    <d v="2024-07-18T00:00:00"/>
    <s v="Carousel"/>
    <s v="Check out our latest carousel on twitter!"/>
    <n v="2120"/>
    <n v="38"/>
    <n v="212"/>
    <n v="12720"/>
    <n v="12564"/>
    <n v="21"/>
    <n v="2370"/>
    <s v="#LiveForNow"/>
    <s v="#LiveForNow"/>
    <m/>
    <m/>
    <s v="DailyWellness"/>
    <n v="0.18632075471698112"/>
  </r>
  <r>
    <s v="P212"/>
    <x v="1"/>
    <d v="2025-03-03T00:00:00"/>
    <s v="Video"/>
    <s v="Check out our latest video on youtube!"/>
    <n v="3874"/>
    <n v="884"/>
    <n v="19"/>
    <n v="38740"/>
    <n v="38552"/>
    <n v="219"/>
    <n v="4777"/>
    <s v="#PepsiCoRefresh"/>
    <s v="#PepsiCoRefresh"/>
    <m/>
    <m/>
    <s v="FestiveRadiance"/>
    <n v="0.123309241094476"/>
  </r>
  <r>
    <s v="P213"/>
    <x v="3"/>
    <d v="2025-05-01T00:00:00"/>
    <s v="Carousel"/>
    <s v="Check out our latest carousel on facebook!"/>
    <n v="2696"/>
    <n v="628"/>
    <n v="443"/>
    <n v="45832"/>
    <n v="45632"/>
    <n v="248"/>
    <n v="3767"/>
    <s v="#ThirstyForMore"/>
    <s v="#ThirstyForMore"/>
    <m/>
    <m/>
    <s v="DailyWellness"/>
    <n v="8.21914819340199E-2"/>
  </r>
  <r>
    <s v="P214"/>
    <x v="2"/>
    <d v="2024-12-23T00:00:00"/>
    <s v="Image"/>
    <s v="Check out our latest image on instagram!"/>
    <n v="521"/>
    <n v="746"/>
    <n v="315"/>
    <n v="4168"/>
    <n v="3399"/>
    <n v="282"/>
    <n v="1582"/>
    <s v="#LiveForNow"/>
    <s v="#LiveForNow"/>
    <m/>
    <m/>
    <s v="FestiveRadiance"/>
    <n v="0.37955854126679461"/>
  </r>
  <r>
    <s v="P215"/>
    <x v="3"/>
    <d v="2025-05-06T00:00:00"/>
    <s v="Image"/>
    <s v="Check out our latest image on facebook!"/>
    <n v="4872"/>
    <n v="925"/>
    <n v="176"/>
    <n v="82824"/>
    <n v="82543"/>
    <n v="89"/>
    <n v="5973"/>
    <s v="#ThirstyForMore"/>
    <s v="#ThirstyForMore"/>
    <m/>
    <m/>
    <s v="FestiveRadiance"/>
    <n v="7.2116777745580993E-2"/>
  </r>
  <r>
    <s v="P216"/>
    <x v="1"/>
    <d v="2024-07-29T00:00:00"/>
    <s v="Story"/>
    <s v="Check out our latest story on youtube!"/>
    <n v="1509"/>
    <n v="88"/>
    <n v="163"/>
    <n v="30180"/>
    <n v="29689"/>
    <n v="119"/>
    <n v="1760"/>
    <s v="#ThirstyForMore"/>
    <s v="#ThirstyForMore"/>
    <m/>
    <m/>
    <s v="FestiveRadiance"/>
    <n v="5.8316766070245198E-2"/>
  </r>
  <r>
    <s v="P217"/>
    <x v="3"/>
    <d v="2024-12-03T00:00:00"/>
    <s v="Image"/>
    <s v="Check out our latest image on facebook!"/>
    <n v="4606"/>
    <n v="931"/>
    <n v="230"/>
    <n v="92120"/>
    <n v="91440"/>
    <n v="56"/>
    <n v="5767"/>
    <s v="#PepsiCoRefresh"/>
    <s v="#PepsiCoRefresh"/>
    <m/>
    <m/>
    <s v="Unassigned"/>
    <n v="6.2603126356925748E-2"/>
  </r>
  <r>
    <s v="P218"/>
    <x v="3"/>
    <d v="2024-06-11T00:00:00"/>
    <s v="Carousel"/>
    <s v="Check out our latest carousel on facebook!"/>
    <n v="1869"/>
    <n v="453"/>
    <n v="490"/>
    <n v="14952"/>
    <n v="14309"/>
    <n v="275"/>
    <n v="2812"/>
    <s v="#PepsiCoRefresh"/>
    <s v="#PepsiCoRefresh"/>
    <m/>
    <m/>
    <s v="DailyWellness"/>
    <n v="0.18806848582129482"/>
  </r>
  <r>
    <s v="P219"/>
    <x v="0"/>
    <d v="2025-01-28T00:00:00"/>
    <s v="Reel"/>
    <s v="Check out our latest reel on twitter!"/>
    <n v="1188"/>
    <n v="470"/>
    <n v="174"/>
    <n v="7128"/>
    <n v="6145"/>
    <n v="270"/>
    <n v="1832"/>
    <s v="#PepsiCoRefresh"/>
    <s v="#PepsiCoRefresh"/>
    <m/>
    <m/>
    <s v="DailyWellness"/>
    <n v="0.25701459034792368"/>
  </r>
  <r>
    <s v="P220"/>
    <x v="2"/>
    <d v="2024-06-02T00:00:00"/>
    <s v="Story"/>
    <s v="Check out our latest story on instagram!"/>
    <n v="84"/>
    <n v="897"/>
    <n v="85"/>
    <n v="588"/>
    <n v="8"/>
    <n v="12"/>
    <n v="1066"/>
    <s v="#ThirstyForMore"/>
    <s v="#ThirstyForMore"/>
    <m/>
    <m/>
    <s v="Unassigned"/>
    <n v="1.8129251700680271"/>
  </r>
  <r>
    <s v="P221"/>
    <x v="3"/>
    <d v="2025-03-23T00:00:00"/>
    <s v="Video"/>
    <s v="Check out our latest video on facebook!"/>
    <n v="4453"/>
    <n v="111"/>
    <n v="420"/>
    <n v="31171"/>
    <n v="30565"/>
    <n v="23"/>
    <n v="4984"/>
    <s v="#PepsiCoRefresh"/>
    <s v="#PepsiCoRefresh"/>
    <m/>
    <m/>
    <s v="Unassigned"/>
    <n v="0.15989220750056141"/>
  </r>
  <r>
    <s v="P222"/>
    <x v="3"/>
    <d v="2024-10-08T00:00:00"/>
    <s v="Reel"/>
    <s v="Check out our latest reel on facebook!"/>
    <n v="1814"/>
    <n v="653"/>
    <n v="363"/>
    <n v="25396"/>
    <n v="25286"/>
    <n v="39"/>
    <n v="2830"/>
    <s v="#LiveForNow,#SmoothLikeNitroPepsi"/>
    <s v="#LiveForNow"/>
    <s v="#SmoothLikeNitroPepsi"/>
    <m/>
    <s v="SummerSplash"/>
    <n v="0.11143487163332809"/>
  </r>
  <r>
    <s v="P223"/>
    <x v="0"/>
    <d v="2024-11-12T00:00:00"/>
    <s v="Image"/>
    <s v="Check out our latest image on twitter!"/>
    <n v="3338"/>
    <n v="277"/>
    <n v="118"/>
    <n v="60084"/>
    <n v="59842"/>
    <n v="252"/>
    <n v="3733"/>
    <s v="#PepsiCoRefresh"/>
    <s v="#PepsiCoRefresh"/>
    <m/>
    <m/>
    <s v="Unassigned"/>
    <n v="6.2129685107516146E-2"/>
  </r>
  <r>
    <s v="P224"/>
    <x v="3"/>
    <d v="2025-05-13T00:00:00"/>
    <s v="Image"/>
    <s v="Check out our latest image on facebook!"/>
    <n v="602"/>
    <n v="594"/>
    <n v="156"/>
    <n v="4214"/>
    <n v="3363"/>
    <n v="164"/>
    <n v="1352"/>
    <s v="#PepsiCoRefresh"/>
    <s v="#PepsiCoRefresh"/>
    <m/>
    <m/>
    <s v="NewYearRefresh"/>
    <n v="0.32083531086853345"/>
  </r>
  <r>
    <s v="P225"/>
    <x v="0"/>
    <d v="2024-06-20T00:00:00"/>
    <s v="Carousel"/>
    <s v="Check out our latest carousel on twitter!"/>
    <n v="4672"/>
    <n v="325"/>
    <n v="32"/>
    <n v="88768"/>
    <n v="87833"/>
    <n v="118"/>
    <n v="5029"/>
    <s v="#ThirstyForMore"/>
    <s v="#ThirstyForMore"/>
    <m/>
    <m/>
    <s v="Unassigned"/>
    <n v="5.6653298485940883E-2"/>
  </r>
  <r>
    <s v="P226"/>
    <x v="2"/>
    <d v="2024-08-07T00:00:00"/>
    <s v="Carousel"/>
    <s v="Check out our latest carousel on instagram!"/>
    <n v="1741"/>
    <n v="164"/>
    <n v="318"/>
    <n v="8705"/>
    <n v="8272"/>
    <n v="121"/>
    <n v="2223"/>
    <s v="#PepsiCoRefresh"/>
    <s v="#PepsiCoRefresh"/>
    <m/>
    <m/>
    <s v="Unassigned"/>
    <n v="0.25537047673750718"/>
  </r>
  <r>
    <s v="P227"/>
    <x v="2"/>
    <d v="2024-06-12T00:00:00"/>
    <s v="Text"/>
    <s v="Check out our latest text on instagram!"/>
    <n v="246"/>
    <n v="149"/>
    <n v="130"/>
    <n v="4674"/>
    <n v="4390"/>
    <n v="217"/>
    <n v="525"/>
    <s v="#LiveForNow"/>
    <s v="#LiveForNow"/>
    <m/>
    <m/>
    <s v="NewYearRefresh"/>
    <n v="0.11232349165596919"/>
  </r>
  <r>
    <s v="P228"/>
    <x v="2"/>
    <d v="2024-07-01T00:00:00"/>
    <s v="Story"/>
    <s v="Check out our latest story on instagram!"/>
    <n v="4808"/>
    <n v="772"/>
    <n v="320"/>
    <n v="72120"/>
    <n v="71696"/>
    <n v="195"/>
    <n v="5900"/>
    <s v="#ThirstyForMore"/>
    <s v="#ThirstyForMore"/>
    <m/>
    <m/>
    <s v="SummerSplash"/>
    <n v="8.1808097615085965E-2"/>
  </r>
  <r>
    <s v="P229"/>
    <x v="2"/>
    <d v="2024-07-03T00:00:00"/>
    <s v="Carousel"/>
    <s v="Check out our latest carousel on instagram!"/>
    <n v="4799"/>
    <n v="694"/>
    <n v="289"/>
    <n v="43191"/>
    <n v="42228"/>
    <n v="118"/>
    <n v="5782"/>
    <s v="#PepsiCoRefresh"/>
    <s v="#PepsiCoRefresh"/>
    <m/>
    <m/>
    <s v="Unassigned"/>
    <n v="0.13387048227640017"/>
  </r>
  <r>
    <s v="P230"/>
    <x v="3"/>
    <d v="2024-07-15T00:00:00"/>
    <s v="Reel"/>
    <s v="Check out our latest reel on facebook!"/>
    <n v="3663"/>
    <n v="17"/>
    <n v="295"/>
    <n v="51282"/>
    <n v="50567"/>
    <n v="84"/>
    <n v="3975"/>
    <s v="#ThirstyForMore"/>
    <s v="#ThirstyForMore"/>
    <m/>
    <m/>
    <s v="NewYearRefresh"/>
    <n v="7.7512577512577507E-2"/>
  </r>
  <r>
    <s v="P231"/>
    <x v="2"/>
    <d v="2025-05-01T00:00:00"/>
    <s v="Text"/>
    <s v="Check out our latest text on instagram!"/>
    <n v="1430"/>
    <n v="376"/>
    <n v="33"/>
    <n v="21450"/>
    <n v="20509"/>
    <n v="251"/>
    <n v="1839"/>
    <s v="#LiveForNow"/>
    <s v="#LiveForNow"/>
    <m/>
    <m/>
    <s v="SummerSplash"/>
    <n v="8.5734265734265735E-2"/>
  </r>
  <r>
    <s v="P232"/>
    <x v="0"/>
    <d v="2025-04-29T00:00:00"/>
    <s v="Story"/>
    <s v="Check out our latest story on twitter!"/>
    <n v="249"/>
    <n v="592"/>
    <n v="230"/>
    <n v="1494"/>
    <n v="1044"/>
    <n v="201"/>
    <n v="1071"/>
    <s v="#ThirstyForMore"/>
    <s v="#ThirstyForMore"/>
    <m/>
    <m/>
    <s v="DailyWellness"/>
    <n v="0.7168674698795181"/>
  </r>
  <r>
    <s v="P233"/>
    <x v="3"/>
    <d v="2025-03-08T00:00:00"/>
    <s v="Image"/>
    <s v="Check out our latest image on facebook!"/>
    <n v="2382"/>
    <n v="265"/>
    <n v="134"/>
    <n v="38112"/>
    <n v="37437"/>
    <n v="249"/>
    <n v="2781"/>
    <s v="#LiveForNow"/>
    <s v="#LiveForNow"/>
    <m/>
    <m/>
    <s v="DailyWellness"/>
    <n v="7.2969143576826198E-2"/>
  </r>
  <r>
    <s v="P234"/>
    <x v="3"/>
    <d v="2024-06-01T00:00:00"/>
    <s v="Text"/>
    <s v="Check out our latest text on facebook!"/>
    <n v="1272"/>
    <n v="465"/>
    <n v="99"/>
    <n v="24168"/>
    <n v="23719"/>
    <n v="42"/>
    <n v="1836"/>
    <s v="#PepsiCoRefresh"/>
    <s v="#PepsiCoRefresh"/>
    <m/>
    <m/>
    <s v="Unassigned"/>
    <n v="7.5968222442899705E-2"/>
  </r>
  <r>
    <s v="P235"/>
    <x v="3"/>
    <d v="2024-12-22T00:00:00"/>
    <s v="Image"/>
    <s v="Check out our latest image on facebook!"/>
    <n v="3196"/>
    <n v="941"/>
    <n v="376"/>
    <n v="35156"/>
    <n v="34444"/>
    <n v="241"/>
    <n v="4513"/>
    <s v="#PepsiCoRefresh"/>
    <s v="#PepsiCoRefresh"/>
    <m/>
    <m/>
    <s v="NewYearRefresh"/>
    <n v="0.1283706906360223"/>
  </r>
  <r>
    <s v="P236"/>
    <x v="3"/>
    <d v="2024-08-19T00:00:00"/>
    <s v="Text"/>
    <s v="Check out our latest text on facebook!"/>
    <n v="1257"/>
    <n v="19"/>
    <n v="351"/>
    <n v="12570"/>
    <n v="11660"/>
    <n v="194"/>
    <n v="1627"/>
    <s v="#LiveForNow,#AnytimeIsPepsiTime,#ThirstyForMore"/>
    <s v="#LiveForNow"/>
    <s v="#AnytimeIsPepsiTime"/>
    <s v="#ThirstyForMore"/>
    <s v="FestiveRadiance"/>
    <n v="0.12943516308671441"/>
  </r>
  <r>
    <s v="P237"/>
    <x v="2"/>
    <d v="2024-10-22T00:00:00"/>
    <s v="Story"/>
    <s v="Check out our latest story on instagram!"/>
    <n v="3770"/>
    <n v="917"/>
    <n v="129"/>
    <n v="71630"/>
    <n v="71322"/>
    <n v="76"/>
    <n v="4816"/>
    <s v="#LiveForNow"/>
    <s v="#LiveForNow"/>
    <m/>
    <m/>
    <s v="SummerSplash"/>
    <n v="6.7234398994834563E-2"/>
  </r>
  <r>
    <s v="P238"/>
    <x v="0"/>
    <d v="2024-07-16T00:00:00"/>
    <s v="Text"/>
    <s v="Check out our latest text on twitter!"/>
    <n v="4725"/>
    <n v="400"/>
    <n v="362"/>
    <n v="75600"/>
    <n v="74927"/>
    <n v="43"/>
    <n v="5487"/>
    <s v="#LiveForNow"/>
    <s v="#LiveForNow"/>
    <m/>
    <m/>
    <s v="DailyWellness"/>
    <n v="7.2579365079365077E-2"/>
  </r>
  <r>
    <s v="P239"/>
    <x v="1"/>
    <d v="2025-02-24T00:00:00"/>
    <s v="Text"/>
    <s v="Check out our latest text on youtube!"/>
    <n v="4188"/>
    <n v="942"/>
    <n v="118"/>
    <n v="20940"/>
    <n v="20471"/>
    <n v="102"/>
    <n v="5248"/>
    <s v="#LiveForNow"/>
    <s v="#LiveForNow"/>
    <m/>
    <m/>
    <s v="Unassigned"/>
    <n v="0.25062082139446035"/>
  </r>
  <r>
    <s v="P240"/>
    <x v="0"/>
    <d v="2024-08-26T00:00:00"/>
    <s v="Carousel"/>
    <s v="Check out our latest carousel on twitter!"/>
    <n v="929"/>
    <n v="192"/>
    <n v="322"/>
    <n v="16722"/>
    <n v="15996"/>
    <n v="145"/>
    <n v="1443"/>
    <s v="#ThirstyForMore,#PepsiCoRefresh,#AnytimeIsPepsiTime"/>
    <s v="#ThirstyForMore"/>
    <s v="#PepsiCoRefresh"/>
    <s v="#AnytimeIsPepsiTime"/>
    <s v="NewYearRefresh"/>
    <n v="8.6293505561535699E-2"/>
  </r>
  <r>
    <s v="P241"/>
    <x v="3"/>
    <d v="2025-01-18T00:00:00"/>
    <s v="Story"/>
    <s v="Check out our latest story on facebook!"/>
    <n v="4321"/>
    <n v="874"/>
    <n v="172"/>
    <n v="30247"/>
    <n v="29254"/>
    <n v="122"/>
    <n v="5367"/>
    <s v="#PepsiCoRefresh"/>
    <s v="#PepsiCoRefresh"/>
    <m/>
    <m/>
    <s v="DailyWellness"/>
    <n v="0.17743908486792079"/>
  </r>
  <r>
    <s v="P242"/>
    <x v="3"/>
    <d v="2024-07-07T00:00:00"/>
    <s v="Reel"/>
    <s v="Check out our latest reel on facebook!"/>
    <n v="4767"/>
    <n v="190"/>
    <n v="340"/>
    <n v="28602"/>
    <n v="28044"/>
    <n v="210"/>
    <n v="5297"/>
    <s v="#ThirstyForMore"/>
    <s v="#ThirstyForMore"/>
    <m/>
    <m/>
    <s v="NewYearRefresh"/>
    <n v="0.18519683938186141"/>
  </r>
  <r>
    <s v="P243"/>
    <x v="0"/>
    <d v="2025-03-06T00:00:00"/>
    <s v="Image"/>
    <s v="Check out our latest image on twitter!"/>
    <n v="3592"/>
    <n v="911"/>
    <n v="375"/>
    <n v="50288"/>
    <n v="49490"/>
    <n v="32"/>
    <n v="4878"/>
    <s v="#LiveForNow"/>
    <s v="#LiveForNow"/>
    <m/>
    <m/>
    <s v="DailyWellness"/>
    <n v="9.7001272669424113E-2"/>
  </r>
  <r>
    <s v="P244"/>
    <x v="1"/>
    <d v="2024-10-25T00:00:00"/>
    <s v="Video"/>
    <s v="Check out our latest video on youtube!"/>
    <n v="4661"/>
    <n v="935"/>
    <n v="433"/>
    <n v="23305"/>
    <n v="22583"/>
    <n v="63"/>
    <n v="6029"/>
    <s v="#LiveForNow"/>
    <s v="#LiveForNow"/>
    <m/>
    <m/>
    <s v="NewYearRefresh"/>
    <n v="0.25869984981763572"/>
  </r>
  <r>
    <s v="P245"/>
    <x v="3"/>
    <d v="2025-01-12T00:00:00"/>
    <s v="Reel"/>
    <s v="Check out our latest reel on facebook!"/>
    <n v="4134"/>
    <n v="824"/>
    <n v="99"/>
    <n v="41340"/>
    <n v="41050"/>
    <n v="177"/>
    <n v="5057"/>
    <s v="#ThirstyForMore"/>
    <s v="#ThirstyForMore"/>
    <m/>
    <m/>
    <s v="SummerSplash"/>
    <n v="0.12232704402515723"/>
  </r>
  <r>
    <s v="P246"/>
    <x v="3"/>
    <d v="2024-10-11T00:00:00"/>
    <s v="Image"/>
    <s v="Check out our latest image on facebook!"/>
    <n v="400"/>
    <n v="680"/>
    <n v="434"/>
    <n v="6400"/>
    <n v="5472"/>
    <n v="160"/>
    <n v="1514"/>
    <s v="#LiveForNow"/>
    <s v="#LiveForNow"/>
    <m/>
    <m/>
    <s v="FestiveRadiance"/>
    <n v="0.23656250000000001"/>
  </r>
  <r>
    <s v="P247"/>
    <x v="3"/>
    <d v="2024-08-27T00:00:00"/>
    <s v="Reel"/>
    <s v="Check out our latest reel on facebook!"/>
    <n v="3960"/>
    <n v="266"/>
    <n v="8"/>
    <n v="35640"/>
    <n v="34850"/>
    <n v="208"/>
    <n v="4234"/>
    <s v="#LiveForNow,#ThirstyForMore,#BetterWithPepsi"/>
    <s v="#LiveForNow"/>
    <s v="#ThirstyForMore"/>
    <s v="#BetterWithPepsi"/>
    <s v="Unassigned"/>
    <n v="0.11879910213243547"/>
  </r>
  <r>
    <s v="P248"/>
    <x v="3"/>
    <d v="2025-02-02T00:00:00"/>
    <s v="Story"/>
    <s v="Check out our latest story on facebook!"/>
    <n v="886"/>
    <n v="126"/>
    <n v="153"/>
    <n v="4430"/>
    <n v="4037"/>
    <n v="212"/>
    <n v="1165"/>
    <s v="#ThirstyForMore"/>
    <s v="#ThirstyForMore"/>
    <m/>
    <m/>
    <s v="Unassigned"/>
    <n v="0.26297968397291194"/>
  </r>
  <r>
    <s v="P249"/>
    <x v="0"/>
    <d v="2024-07-18T00:00:00"/>
    <s v="Image"/>
    <s v="Check out our latest image on twitter!"/>
    <n v="827"/>
    <n v="77"/>
    <n v="402"/>
    <n v="14886"/>
    <n v="14129"/>
    <n v="254"/>
    <n v="1306"/>
    <s v="#ThirstyForMore"/>
    <s v="#ThirstyForMore"/>
    <m/>
    <m/>
    <s v="FestiveRadiance"/>
    <n v="8.7733440816874911E-2"/>
  </r>
  <r>
    <s v="P250"/>
    <x v="3"/>
    <d v="2024-06-22T00:00:00"/>
    <s v="Reel"/>
    <s v="Check out our latest reel on facebook!"/>
    <n v="3813"/>
    <n v="935"/>
    <n v="274"/>
    <n v="68634"/>
    <n v="68488"/>
    <n v="251"/>
    <n v="5022"/>
    <s v="#LiveForNow"/>
    <s v="#LiveForNow"/>
    <m/>
    <m/>
    <s v="Unassigned"/>
    <n v="7.3170731707317069E-2"/>
  </r>
  <r>
    <s v="P251"/>
    <x v="2"/>
    <d v="2025-03-27T00:00:00"/>
    <s v="Carousel"/>
    <s v="Check out our latest carousel on instagram!"/>
    <n v="1377"/>
    <n v="796"/>
    <n v="387"/>
    <n v="22032"/>
    <n v="21869"/>
    <n v="189"/>
    <n v="2560"/>
    <s v="#LiveForNow"/>
    <s v="#LiveForNow"/>
    <m/>
    <m/>
    <s v="Unassigned"/>
    <n v="0.11619462599854757"/>
  </r>
  <r>
    <s v="P252"/>
    <x v="3"/>
    <d v="2025-04-28T00:00:00"/>
    <s v="Carousel"/>
    <s v="Check out our latest carousel on facebook!"/>
    <n v="2089"/>
    <n v="476"/>
    <n v="69"/>
    <n v="16712"/>
    <n v="16309"/>
    <n v="64"/>
    <n v="2634"/>
    <s v="#LiveForNow"/>
    <s v="#LiveForNow"/>
    <m/>
    <m/>
    <s v="NewYearRefresh"/>
    <n v="0.15761129727142173"/>
  </r>
  <r>
    <s v="P253"/>
    <x v="0"/>
    <d v="2024-08-03T00:00:00"/>
    <s v="Reel"/>
    <s v="Check out our latest reel on twitter!"/>
    <n v="3791"/>
    <n v="593"/>
    <n v="228"/>
    <n v="53074"/>
    <n v="52613"/>
    <n v="205"/>
    <n v="4612"/>
    <s v="#ThirstyForMore"/>
    <s v="#ThirstyForMore"/>
    <m/>
    <m/>
    <s v="Unassigned"/>
    <n v="8.6897539284772202E-2"/>
  </r>
  <r>
    <s v="P254"/>
    <x v="0"/>
    <d v="2025-01-14T00:00:00"/>
    <s v="Image"/>
    <s v="Check out our latest image on twitter!"/>
    <n v="2692"/>
    <n v="115"/>
    <n v="64"/>
    <n v="21536"/>
    <n v="21120"/>
    <n v="224"/>
    <n v="2871"/>
    <s v="#LiveForNow"/>
    <s v="#LiveForNow"/>
    <m/>
    <m/>
    <s v="FestiveRadiance"/>
    <n v="0.13331166419019316"/>
  </r>
  <r>
    <s v="P255"/>
    <x v="3"/>
    <d v="2025-04-03T00:00:00"/>
    <s v="Story"/>
    <s v="Check out our latest story on facebook!"/>
    <n v="3767"/>
    <n v="514"/>
    <n v="238"/>
    <n v="37670"/>
    <n v="36807"/>
    <n v="226"/>
    <n v="4519"/>
    <s v="#LiveForNow"/>
    <s v="#LiveForNow"/>
    <m/>
    <m/>
    <s v="DailyWellness"/>
    <n v="0.11996283514733209"/>
  </r>
  <r>
    <s v="P256"/>
    <x v="1"/>
    <d v="2024-09-18T00:00:00"/>
    <s v="Carousel"/>
    <s v="Check out our latest carousel on youtube!"/>
    <n v="2143"/>
    <n v="12"/>
    <n v="204"/>
    <n v="40717"/>
    <n v="40125"/>
    <n v="248"/>
    <n v="2359"/>
    <s v="#ThirstyForMore"/>
    <s v="#ThirstyForMore"/>
    <m/>
    <m/>
    <s v="FestiveRadiance"/>
    <n v="5.7936488444630008E-2"/>
  </r>
  <r>
    <s v="P257"/>
    <x v="3"/>
    <d v="2025-04-06T00:00:00"/>
    <s v="Image"/>
    <s v="Check out our latest image on facebook!"/>
    <n v="3090"/>
    <n v="697"/>
    <n v="164"/>
    <n v="49440"/>
    <n v="48524"/>
    <n v="25"/>
    <n v="3951"/>
    <s v="#ThirstyForMore,#ThirstyForMore,#BetterWithPepsi"/>
    <s v="#ThirstyForMore"/>
    <s v="#ThirstyForMore"/>
    <s v="#BetterWithPepsi"/>
    <s v="FestiveRadiance"/>
    <n v="7.9915048543689318E-2"/>
  </r>
  <r>
    <s v="P258"/>
    <x v="2"/>
    <d v="2024-08-05T00:00:00"/>
    <s v="Story"/>
    <s v="Check out our latest story on instagram!"/>
    <n v="3601"/>
    <n v="695"/>
    <n v="75"/>
    <n v="21606"/>
    <n v="21454"/>
    <n v="172"/>
    <n v="4371"/>
    <s v="#ThirstyForMore"/>
    <s v="#ThirstyForMore"/>
    <m/>
    <m/>
    <s v="FestiveRadiance"/>
    <n v="0.2023049153013052"/>
  </r>
  <r>
    <s v="P259"/>
    <x v="3"/>
    <d v="2025-02-10T00:00:00"/>
    <s v="Text"/>
    <s v="Check out our latest text on facebook!"/>
    <n v="562"/>
    <n v="158"/>
    <n v="149"/>
    <n v="3372"/>
    <n v="2940"/>
    <n v="93"/>
    <n v="869"/>
    <s v="#PepsiCoRefresh"/>
    <s v="#PepsiCoRefresh"/>
    <m/>
    <m/>
    <s v="SummerSplash"/>
    <n v="0.25771055753262156"/>
  </r>
  <r>
    <s v="P260"/>
    <x v="2"/>
    <d v="2025-02-12T00:00:00"/>
    <s v="Story"/>
    <s v="Check out our latest story on instagram!"/>
    <n v="4332"/>
    <n v="771"/>
    <n v="219"/>
    <n v="60648"/>
    <n v="60397"/>
    <n v="10"/>
    <n v="5322"/>
    <s v="#PepsiCoRefresh,#ThirstyForMore,#BetterWithPepsi"/>
    <s v="#PepsiCoRefresh"/>
    <s v="#ThirstyForMore"/>
    <s v="#BetterWithPepsi"/>
    <s v="NewYearRefresh"/>
    <n v="8.7752275425405618E-2"/>
  </r>
  <r>
    <s v="P261"/>
    <x v="2"/>
    <d v="2024-10-27T00:00:00"/>
    <s v="Image"/>
    <s v="Check out our latest image on instagram!"/>
    <n v="4853"/>
    <n v="837"/>
    <n v="340"/>
    <n v="72795"/>
    <n v="72237"/>
    <n v="170"/>
    <n v="6030"/>
    <s v="#ThirstyForMore"/>
    <s v="#ThirstyForMore"/>
    <m/>
    <m/>
    <s v="SummerSplash"/>
    <n v="8.2835359571399134E-2"/>
  </r>
  <r>
    <s v="P262"/>
    <x v="1"/>
    <d v="2025-01-18T00:00:00"/>
    <s v="Image"/>
    <s v="Check out our latest image on youtube!"/>
    <n v="1206"/>
    <n v="238"/>
    <n v="36"/>
    <n v="9648"/>
    <n v="9417"/>
    <n v="237"/>
    <n v="1480"/>
    <s v="#PepsiCoRefresh"/>
    <s v="#PepsiCoRefresh"/>
    <m/>
    <m/>
    <s v="Unassigned"/>
    <n v="0.15339966832504145"/>
  </r>
  <r>
    <s v="P263"/>
    <x v="2"/>
    <d v="2024-08-20T00:00:00"/>
    <s v="Reel"/>
    <s v="Check out our latest reel on instagram!"/>
    <n v="2603"/>
    <n v="690"/>
    <n v="205"/>
    <n v="13015"/>
    <n v="12130"/>
    <n v="20"/>
    <n v="3498"/>
    <s v="#LiveForNow"/>
    <s v="#LiveForNow"/>
    <m/>
    <m/>
    <s v="FestiveRadiance"/>
    <n v="0.26876680752977333"/>
  </r>
  <r>
    <s v="P264"/>
    <x v="0"/>
    <d v="2025-01-30T00:00:00"/>
    <s v="Image"/>
    <s v="Check out our latest image on twitter!"/>
    <n v="59"/>
    <n v="163"/>
    <n v="93"/>
    <n v="590"/>
    <n v="475"/>
    <n v="293"/>
    <n v="315"/>
    <s v="#PepsiCoRefresh"/>
    <s v="#PepsiCoRefresh"/>
    <m/>
    <m/>
    <s v="FestiveRadiance"/>
    <n v="0.53389830508474578"/>
  </r>
  <r>
    <s v="P265"/>
    <x v="0"/>
    <d v="2025-02-20T00:00:00"/>
    <s v="Carousel"/>
    <s v="Check out our latest carousel on twitter!"/>
    <n v="1877"/>
    <n v="745"/>
    <n v="225"/>
    <n v="11262"/>
    <n v="10967"/>
    <n v="41"/>
    <n v="2847"/>
    <s v="#ThirstyForMore"/>
    <s v="#ThirstyForMore"/>
    <m/>
    <m/>
    <s v="DailyWellness"/>
    <n v="0.25279701651571657"/>
  </r>
  <r>
    <s v="P266"/>
    <x v="3"/>
    <d v="2024-11-25T00:00:00"/>
    <s v="Story"/>
    <s v="Check out our latest story on facebook!"/>
    <n v="4182"/>
    <n v="640"/>
    <n v="240"/>
    <n v="50184"/>
    <n v="49351"/>
    <n v="10"/>
    <n v="5062"/>
    <s v="#PepsiCoRefresh"/>
    <s v="#PepsiCoRefresh"/>
    <m/>
    <m/>
    <s v="NewYearRefresh"/>
    <n v="0.10086880280567512"/>
  </r>
  <r>
    <s v="P267"/>
    <x v="0"/>
    <d v="2024-10-04T00:00:00"/>
    <s v="Reel"/>
    <s v="Check out our latest reel on twitter!"/>
    <n v="4187"/>
    <n v="66"/>
    <n v="31"/>
    <n v="66992"/>
    <n v="66614"/>
    <n v="62"/>
    <n v="4284"/>
    <s v="#LiveForNow"/>
    <s v="#LiveForNow"/>
    <m/>
    <m/>
    <s v="Unassigned"/>
    <n v="6.3947934081681396E-2"/>
  </r>
  <r>
    <s v="P268"/>
    <x v="2"/>
    <d v="2025-04-13T00:00:00"/>
    <s v="Reel"/>
    <s v="Check out our latest reel on instagram!"/>
    <n v="4579"/>
    <n v="125"/>
    <n v="300"/>
    <n v="59527"/>
    <n v="59400"/>
    <n v="269"/>
    <n v="5004"/>
    <s v="#ThirstyForMore"/>
    <s v="#ThirstyForMore"/>
    <m/>
    <m/>
    <s v="SummerSplash"/>
    <n v="8.4062694239588759E-2"/>
  </r>
  <r>
    <s v="P269"/>
    <x v="2"/>
    <d v="2024-11-05T00:00:00"/>
    <s v="Video"/>
    <s v="Check out our latest video on instagram!"/>
    <n v="4561"/>
    <n v="51"/>
    <n v="441"/>
    <n v="22805"/>
    <n v="21890"/>
    <n v="45"/>
    <n v="5053"/>
    <s v="#PepsiCoRefresh"/>
    <s v="#PepsiCoRefresh"/>
    <m/>
    <m/>
    <s v="FestiveRadiance"/>
    <n v="0.22157421618066214"/>
  </r>
  <r>
    <s v="P270"/>
    <x v="1"/>
    <d v="2025-01-15T00:00:00"/>
    <s v="Reel"/>
    <s v="Check out our latest reel on youtube!"/>
    <n v="3774"/>
    <n v="239"/>
    <n v="39"/>
    <n v="60384"/>
    <n v="59490"/>
    <n v="241"/>
    <n v="4052"/>
    <s v="#PepsiCoRefresh"/>
    <s v="#PepsiCoRefresh"/>
    <m/>
    <m/>
    <s v="NewYearRefresh"/>
    <n v="6.7103868574456813E-2"/>
  </r>
  <r>
    <s v="P271"/>
    <x v="2"/>
    <d v="2024-10-17T00:00:00"/>
    <s v="Video"/>
    <s v="Check out our latest video on instagram!"/>
    <n v="3575"/>
    <n v="749"/>
    <n v="111"/>
    <n v="21450"/>
    <n v="20785"/>
    <n v="195"/>
    <n v="4435"/>
    <s v="#ThirstyForMore"/>
    <s v="#ThirstyForMore"/>
    <m/>
    <m/>
    <s v="FestiveRadiance"/>
    <n v="0.20675990675990677"/>
  </r>
  <r>
    <s v="P272"/>
    <x v="2"/>
    <d v="2025-03-27T00:00:00"/>
    <s v="Text"/>
    <s v="Check out our latest text on instagram!"/>
    <n v="4941"/>
    <n v="414"/>
    <n v="266"/>
    <n v="39528"/>
    <n v="39154"/>
    <n v="217"/>
    <n v="5621"/>
    <s v="#PepsiCoRefresh"/>
    <s v="#PepsiCoRefresh"/>
    <m/>
    <m/>
    <s v="NewYearRefresh"/>
    <n v="0.14220299534507186"/>
  </r>
  <r>
    <s v="P273"/>
    <x v="1"/>
    <d v="2024-10-12T00:00:00"/>
    <s v="Story"/>
    <s v="Check out our latest story on youtube!"/>
    <n v="3641"/>
    <n v="226"/>
    <n v="46"/>
    <n v="40051"/>
    <n v="39319"/>
    <n v="296"/>
    <n v="3913"/>
    <s v="#ThirstyForMore"/>
    <s v="#ThirstyForMore"/>
    <m/>
    <m/>
    <s v="DailyWellness"/>
    <n v="9.7700431949264685E-2"/>
  </r>
  <r>
    <s v="P274"/>
    <x v="0"/>
    <d v="2025-01-01T00:00:00"/>
    <s v="Carousel"/>
    <s v="Check out our latest carousel on twitter!"/>
    <n v="3535"/>
    <n v="494"/>
    <n v="152"/>
    <n v="53025"/>
    <n v="52791"/>
    <n v="44"/>
    <n v="4181"/>
    <s v="#PepsiCoRefresh"/>
    <s v="#PepsiCoRefresh"/>
    <m/>
    <m/>
    <s v="DailyWellness"/>
    <n v="7.8849599245638849E-2"/>
  </r>
  <r>
    <s v="P275"/>
    <x v="3"/>
    <d v="2024-08-05T00:00:00"/>
    <s v="Reel"/>
    <s v="Check out our latest reel on facebook!"/>
    <n v="1741"/>
    <n v="831"/>
    <n v="345"/>
    <n v="17410"/>
    <n v="16844"/>
    <n v="58"/>
    <n v="2917"/>
    <s v="#ThirstyForMore"/>
    <s v="#ThirstyForMore"/>
    <m/>
    <m/>
    <s v="NewYearRefresh"/>
    <n v="0.16754738655944859"/>
  </r>
  <r>
    <s v="P276"/>
    <x v="0"/>
    <d v="2024-06-07T00:00:00"/>
    <s v="Carousel"/>
    <s v="Check out our latest carousel on twitter!"/>
    <n v="1556"/>
    <n v="195"/>
    <n v="131"/>
    <n v="9336"/>
    <n v="8875"/>
    <n v="137"/>
    <n v="1882"/>
    <s v="#PepsiCoRefresh"/>
    <s v="#PepsiCoRefresh"/>
    <m/>
    <m/>
    <s v="FestiveRadiance"/>
    <n v="0.2015852613538989"/>
  </r>
  <r>
    <s v="P277"/>
    <x v="3"/>
    <d v="2025-04-06T00:00:00"/>
    <s v="Image"/>
    <s v="Check out our latest image on facebook!"/>
    <n v="4236"/>
    <n v="711"/>
    <n v="298"/>
    <n v="21180"/>
    <n v="20516"/>
    <n v="238"/>
    <n v="5245"/>
    <s v="#LiveForNow"/>
    <s v="#LiveForNow"/>
    <m/>
    <m/>
    <s v="SummerSplash"/>
    <n v="0.24763928234183191"/>
  </r>
  <r>
    <s v="P278"/>
    <x v="0"/>
    <d v="2024-11-26T00:00:00"/>
    <s v="Text"/>
    <s v="Check out our latest text on twitter!"/>
    <n v="4516"/>
    <n v="836"/>
    <n v="169"/>
    <n v="49676"/>
    <n v="49257"/>
    <n v="282"/>
    <n v="5521"/>
    <s v="#ThirstyForMore"/>
    <s v="#ThirstyForMore"/>
    <m/>
    <m/>
    <s v="DailyWellness"/>
    <n v="0.11114018842096787"/>
  </r>
  <r>
    <s v="P279"/>
    <x v="1"/>
    <d v="2024-09-02T00:00:00"/>
    <s v="Image"/>
    <s v="Check out our latest image on youtube!"/>
    <n v="4905"/>
    <n v="845"/>
    <n v="129"/>
    <n v="98100"/>
    <n v="97772"/>
    <n v="279"/>
    <n v="5879"/>
    <s v="#PepsiCoRefresh"/>
    <s v="#PepsiCoRefresh"/>
    <m/>
    <m/>
    <s v="FestiveRadiance"/>
    <n v="5.9928644240570844E-2"/>
  </r>
  <r>
    <s v="P280"/>
    <x v="1"/>
    <d v="2024-10-21T00:00:00"/>
    <s v="Video"/>
    <s v="Check out our latest video on youtube!"/>
    <n v="4275"/>
    <n v="680"/>
    <n v="385"/>
    <n v="64125"/>
    <n v="63650"/>
    <n v="104"/>
    <n v="5340"/>
    <s v="#ThirstyForMore,#PepsiCoRefresh,#AnytimeIsPepsiTime"/>
    <s v="#ThirstyForMore"/>
    <s v="#PepsiCoRefresh"/>
    <s v="#AnytimeIsPepsiTime"/>
    <s v="DailyWellness"/>
    <n v="8.3274853801169585E-2"/>
  </r>
  <r>
    <s v="P281"/>
    <x v="1"/>
    <d v="2025-03-22T00:00:00"/>
    <s v="Image"/>
    <s v="Check out our latest image on youtube!"/>
    <n v="3166"/>
    <n v="90"/>
    <n v="341"/>
    <n v="56988"/>
    <n v="56125"/>
    <n v="135"/>
    <n v="3597"/>
    <s v="#ThirstyForMore"/>
    <s v="#ThirstyForMore"/>
    <m/>
    <m/>
    <s v="FestiveRadiance"/>
    <n v="6.3118551273952411E-2"/>
  </r>
  <r>
    <s v="P282"/>
    <x v="2"/>
    <d v="2024-10-03T00:00:00"/>
    <s v="Video"/>
    <s v="Check out our latest video on instagram!"/>
    <n v="1488"/>
    <n v="417"/>
    <n v="168"/>
    <n v="19344"/>
    <n v="18395"/>
    <n v="30"/>
    <n v="2073"/>
    <s v="#LiveForNow"/>
    <s v="#LiveForNow"/>
    <m/>
    <m/>
    <s v="NewYearRefresh"/>
    <n v="0.1071650124069479"/>
  </r>
  <r>
    <s v="P283"/>
    <x v="0"/>
    <d v="2025-05-09T00:00:00"/>
    <s v="Reel"/>
    <s v="Check out our latest reel on twitter!"/>
    <n v="3367"/>
    <n v="302"/>
    <n v="57"/>
    <n v="63973"/>
    <n v="63789"/>
    <n v="157"/>
    <n v="3726"/>
    <s v="#LiveForNow"/>
    <s v="#LiveForNow"/>
    <m/>
    <m/>
    <s v="FestiveRadiance"/>
    <n v="5.8243321401216137E-2"/>
  </r>
  <r>
    <s v="P284"/>
    <x v="0"/>
    <d v="2024-09-17T00:00:00"/>
    <s v="Text"/>
    <s v="Check out our latest text on twitter!"/>
    <n v="571"/>
    <n v="190"/>
    <n v="352"/>
    <n v="9707"/>
    <n v="9418"/>
    <n v="231"/>
    <n v="1113"/>
    <s v="#PepsiCoRefresh"/>
    <s v="#PepsiCoRefresh"/>
    <m/>
    <m/>
    <s v="DailyWellness"/>
    <n v="0.11465952405480581"/>
  </r>
  <r>
    <s v="P285"/>
    <x v="1"/>
    <d v="2024-07-18T00:00:00"/>
    <s v="Text"/>
    <s v="Check out our latest text on youtube!"/>
    <n v="4021"/>
    <n v="794"/>
    <n v="77"/>
    <n v="36189"/>
    <n v="35505"/>
    <n v="174"/>
    <n v="4892"/>
    <s v="#ThirstyForMore"/>
    <s v="#ThirstyForMore"/>
    <m/>
    <m/>
    <s v="Unassigned"/>
    <n v="0.13517919809886983"/>
  </r>
  <r>
    <s v="P286"/>
    <x v="1"/>
    <d v="2024-09-25T00:00:00"/>
    <s v="Video"/>
    <s v="Check out our latest video on youtube!"/>
    <n v="3389"/>
    <n v="344"/>
    <n v="229"/>
    <n v="20334"/>
    <n v="19443"/>
    <n v="228"/>
    <n v="3962"/>
    <s v="#LiveForNow"/>
    <s v="#LiveForNow"/>
    <m/>
    <m/>
    <s v="NewYearRefresh"/>
    <n v="0.19484607062063539"/>
  </r>
  <r>
    <s v="P287"/>
    <x v="2"/>
    <d v="2024-08-15T00:00:00"/>
    <s v="Reel"/>
    <s v="Check out our latest reel on instagram!"/>
    <n v="1164"/>
    <n v="616"/>
    <n v="324"/>
    <n v="6984"/>
    <n v="6636"/>
    <n v="82"/>
    <n v="2104"/>
    <s v="#ThirstyForMore"/>
    <s v="#ThirstyForMore"/>
    <m/>
    <m/>
    <s v="SummerSplash"/>
    <n v="0.30126002290950743"/>
  </r>
  <r>
    <s v="P288"/>
    <x v="1"/>
    <d v="2025-04-17T00:00:00"/>
    <s v="Carousel"/>
    <s v="Check out our latest carousel on youtube!"/>
    <n v="4780"/>
    <n v="691"/>
    <n v="380"/>
    <n v="86040"/>
    <n v="85743"/>
    <n v="262"/>
    <n v="5851"/>
    <s v="#LiveForNow"/>
    <s v="#LiveForNow"/>
    <m/>
    <m/>
    <s v="NewYearRefresh"/>
    <n v="6.800325430032543E-2"/>
  </r>
  <r>
    <s v="P289"/>
    <x v="3"/>
    <d v="2024-11-28T00:00:00"/>
    <s v="Carousel"/>
    <s v="Check out our latest carousel on facebook!"/>
    <n v="2751"/>
    <n v="33"/>
    <n v="430"/>
    <n v="44016"/>
    <n v="43415"/>
    <n v="129"/>
    <n v="3214"/>
    <s v="#LiveForNow"/>
    <s v="#LiveForNow"/>
    <m/>
    <m/>
    <s v="Unassigned"/>
    <n v="7.3018902217375503E-2"/>
  </r>
  <r>
    <s v="P290"/>
    <x v="2"/>
    <d v="2024-12-20T00:00:00"/>
    <s v="Carousel"/>
    <s v="Check out our latest carousel on instagram!"/>
    <n v="2107"/>
    <n v="550"/>
    <n v="349"/>
    <n v="35819"/>
    <n v="35340"/>
    <n v="191"/>
    <n v="3006"/>
    <s v="#ThirstyForMore"/>
    <s v="#ThirstyForMore"/>
    <m/>
    <m/>
    <s v="DailyWellness"/>
    <n v="8.3921940869371006E-2"/>
  </r>
  <r>
    <s v="P291"/>
    <x v="3"/>
    <d v="2024-11-06T00:00:00"/>
    <s v="Video"/>
    <s v="Check out our latest video on facebook!"/>
    <n v="4663"/>
    <n v="145"/>
    <n v="225"/>
    <n v="69945"/>
    <n v="69596"/>
    <n v="35"/>
    <n v="5033"/>
    <s v="#ThirstyForMore"/>
    <s v="#ThirstyForMore"/>
    <m/>
    <m/>
    <s v="DailyWellness"/>
    <n v="7.1956537279290869E-2"/>
  </r>
  <r>
    <s v="P292"/>
    <x v="3"/>
    <d v="2024-11-17T00:00:00"/>
    <s v="Text"/>
    <s v="Check out our latest text on facebook!"/>
    <n v="880"/>
    <n v="297"/>
    <n v="345"/>
    <n v="12320"/>
    <n v="11978"/>
    <n v="238"/>
    <n v="1522"/>
    <s v="#PepsiCoRefresh,#AnytimeIsPepsiTime"/>
    <s v="#PepsiCoRefresh"/>
    <s v="#AnytimeIsPepsiTime"/>
    <m/>
    <s v="Unassigned"/>
    <n v="0.12353896103896105"/>
  </r>
  <r>
    <s v="P293"/>
    <x v="3"/>
    <d v="2025-05-14T00:00:00"/>
    <s v="Text"/>
    <s v="Check out our latest text on facebook!"/>
    <n v="2634"/>
    <n v="726"/>
    <n v="241"/>
    <n v="28974"/>
    <n v="28102"/>
    <n v="277"/>
    <n v="3601"/>
    <s v="#ThirstyForMore"/>
    <s v="#ThirstyForMore"/>
    <m/>
    <m/>
    <s v="SummerSplash"/>
    <n v="0.12428384068475185"/>
  </r>
  <r>
    <s v="P294"/>
    <x v="3"/>
    <d v="2024-06-19T00:00:00"/>
    <s v="Carousel"/>
    <s v="Check out our latest carousel on facebook!"/>
    <n v="4731"/>
    <n v="173"/>
    <n v="276"/>
    <n v="28386"/>
    <n v="28185"/>
    <n v="89"/>
    <n v="5180"/>
    <s v="#ThirstyForMore"/>
    <s v="#ThirstyForMore"/>
    <m/>
    <m/>
    <s v="NewYearRefresh"/>
    <n v="0.18248432325794406"/>
  </r>
  <r>
    <s v="P295"/>
    <x v="0"/>
    <d v="2025-05-06T00:00:00"/>
    <s v="Image"/>
    <s v="Check out our latest image on twitter!"/>
    <n v="1952"/>
    <n v="344"/>
    <n v="287"/>
    <n v="15616"/>
    <n v="15403"/>
    <n v="235"/>
    <n v="2583"/>
    <s v="#LiveForNow,#PepsiCoRefresh,#AnytimeIsPepsiTime"/>
    <s v="#LiveForNow"/>
    <s v="#PepsiCoRefresh"/>
    <s v="#AnytimeIsPepsiTime"/>
    <s v="FestiveRadiance"/>
    <n v="0.16540727459016394"/>
  </r>
  <r>
    <s v="P296"/>
    <x v="0"/>
    <d v="2025-02-11T00:00:00"/>
    <s v="Video"/>
    <s v="Check out our latest video on twitter!"/>
    <n v="3440"/>
    <n v="13"/>
    <n v="20"/>
    <n v="58480"/>
    <n v="58146"/>
    <n v="210"/>
    <n v="3473"/>
    <s v="#PepsiCoRefresh,#SmoothLikeNitroPepsi"/>
    <s v="#PepsiCoRefresh"/>
    <s v="#SmoothLikeNitroPepsi"/>
    <m/>
    <s v="DailyWellness"/>
    <n v="5.9387824897400819E-2"/>
  </r>
  <r>
    <s v="P297"/>
    <x v="0"/>
    <d v="2024-12-24T00:00:00"/>
    <s v="Text"/>
    <s v="Check out our latest text on twitter!"/>
    <n v="2166"/>
    <n v="354"/>
    <n v="117"/>
    <n v="10830"/>
    <n v="10245"/>
    <n v="24"/>
    <n v="2637"/>
    <s v="#ThirstyForMore"/>
    <s v="#ThirstyForMore"/>
    <m/>
    <m/>
    <s v="DailyWellness"/>
    <n v="0.24349030470914126"/>
  </r>
  <r>
    <s v="P298"/>
    <x v="3"/>
    <d v="2024-10-24T00:00:00"/>
    <s v="Image"/>
    <s v="Check out our latest image on facebook!"/>
    <n v="4303"/>
    <n v="451"/>
    <n v="286"/>
    <n v="86060"/>
    <n v="85823"/>
    <n v="14"/>
    <n v="5040"/>
    <s v="#PepsiCoRefresh"/>
    <s v="#PepsiCoRefresh"/>
    <m/>
    <m/>
    <s v="NewYearRefresh"/>
    <n v="5.8563792702765516E-2"/>
  </r>
  <r>
    <s v="P299"/>
    <x v="3"/>
    <d v="2024-08-26T00:00:00"/>
    <s v="Image"/>
    <s v="Check out our latest image on facebook!"/>
    <n v="2581"/>
    <n v="517"/>
    <n v="117"/>
    <n v="23229"/>
    <n v="22331"/>
    <n v="70"/>
    <n v="3215"/>
    <s v="#LiveForNow"/>
    <s v="#LiveForNow"/>
    <m/>
    <m/>
    <s v="NewYearRefresh"/>
    <n v="0.13840458048129492"/>
  </r>
  <r>
    <s v="P300"/>
    <x v="0"/>
    <d v="2024-08-31T00:00:00"/>
    <s v="Carousel"/>
    <s v="Check out our latest carousel on twitter!"/>
    <n v="4494"/>
    <n v="717"/>
    <n v="45"/>
    <n v="62916"/>
    <n v="62688"/>
    <n v="191"/>
    <n v="5256"/>
    <s v="#PepsiCoRefresh,#ThirstyForMore,#BetterWithPepsi"/>
    <s v="#PepsiCoRefresh"/>
    <s v="#ThirstyForMore"/>
    <s v="#BetterWithPepsi"/>
    <s v="SummerSplash"/>
    <n v="8.3539958039290485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135"/>
    <n v="88"/>
    <n v="344084"/>
    <n v="8.06"/>
    <n v="5904"/>
    <n v="1047"/>
  </r>
  <r>
    <x v="0"/>
    <x v="1"/>
    <n v="1312"/>
    <n v="310"/>
    <n v="42654"/>
    <n v="4.9800000000000004"/>
    <n v="9566"/>
    <n v="1002"/>
  </r>
  <r>
    <x v="0"/>
    <x v="2"/>
    <n v="584"/>
    <n v="169"/>
    <n v="146834"/>
    <n v="8.31"/>
    <n v="26752"/>
    <n v="415"/>
  </r>
  <r>
    <x v="0"/>
    <x v="3"/>
    <n v="1535"/>
    <n v="445"/>
    <n v="395536"/>
    <n v="4.1100000000000003"/>
    <n v="30671"/>
    <n v="1090"/>
  </r>
  <r>
    <x v="1"/>
    <x v="0"/>
    <n v="656"/>
    <n v="139"/>
    <n v="49157"/>
    <n v="9.0500000000000007"/>
    <n v="9920"/>
    <n v="517"/>
  </r>
  <r>
    <x v="1"/>
    <x v="1"/>
    <n v="1697"/>
    <n v="414"/>
    <n v="316555"/>
    <n v="2.37"/>
    <n v="7924"/>
    <n v="1283"/>
  </r>
  <r>
    <x v="1"/>
    <x v="2"/>
    <n v="436"/>
    <n v="250"/>
    <n v="254347"/>
    <n v="4.01"/>
    <n v="8912"/>
    <n v="186"/>
  </r>
  <r>
    <x v="1"/>
    <x v="3"/>
    <n v="1197"/>
    <n v="203"/>
    <n v="413878"/>
    <n v="3.16"/>
    <n v="21205"/>
    <n v="994"/>
  </r>
  <r>
    <x v="2"/>
    <x v="0"/>
    <n v="1048"/>
    <n v="155"/>
    <n v="456946"/>
    <n v="2.46"/>
    <n v="11329"/>
    <n v="893"/>
  </r>
  <r>
    <x v="2"/>
    <x v="1"/>
    <n v="1753"/>
    <n v="371"/>
    <n v="169496"/>
    <n v="8.11"/>
    <n v="46670"/>
    <n v="1382"/>
  </r>
  <r>
    <x v="2"/>
    <x v="2"/>
    <n v="1335"/>
    <n v="40"/>
    <n v="122732"/>
    <n v="8.19"/>
    <n v="22482"/>
    <n v="1295"/>
  </r>
  <r>
    <x v="2"/>
    <x v="3"/>
    <n v="403"/>
    <n v="66"/>
    <n v="382851"/>
    <n v="3.49"/>
    <n v="24313"/>
    <n v="337"/>
  </r>
  <r>
    <x v="3"/>
    <x v="0"/>
    <n v="911"/>
    <n v="282"/>
    <n v="35664"/>
    <n v="6.92"/>
    <n v="18050"/>
    <n v="629"/>
  </r>
  <r>
    <x v="3"/>
    <x v="1"/>
    <n v="1779"/>
    <n v="109"/>
    <n v="26295"/>
    <n v="9.1199999999999992"/>
    <n v="30635"/>
    <n v="1670"/>
  </r>
  <r>
    <x v="3"/>
    <x v="2"/>
    <n v="1238"/>
    <n v="403"/>
    <n v="298421"/>
    <n v="3.5"/>
    <n v="31280"/>
    <n v="835"/>
  </r>
  <r>
    <x v="3"/>
    <x v="3"/>
    <n v="308"/>
    <n v="431"/>
    <n v="426184"/>
    <n v="2.62"/>
    <n v="1783"/>
    <n v="-123"/>
  </r>
  <r>
    <x v="4"/>
    <x v="0"/>
    <n v="226"/>
    <n v="445"/>
    <n v="419447"/>
    <n v="9.36"/>
    <n v="9566"/>
    <n v="-219"/>
  </r>
  <r>
    <x v="4"/>
    <x v="1"/>
    <n v="505"/>
    <n v="441"/>
    <n v="220020"/>
    <n v="4.4800000000000004"/>
    <n v="42307"/>
    <n v="64"/>
  </r>
  <r>
    <x v="4"/>
    <x v="2"/>
    <n v="1420"/>
    <n v="63"/>
    <n v="315305"/>
    <n v="6.19"/>
    <n v="5914"/>
    <n v="1357"/>
  </r>
  <r>
    <x v="4"/>
    <x v="3"/>
    <n v="144"/>
    <n v="53"/>
    <n v="113678"/>
    <n v="8.7200000000000006"/>
    <n v="30060"/>
    <n v="91"/>
  </r>
  <r>
    <x v="5"/>
    <x v="0"/>
    <n v="1757"/>
    <n v="85"/>
    <n v="58223"/>
    <n v="8.74"/>
    <n v="22728"/>
    <n v="1672"/>
  </r>
  <r>
    <x v="5"/>
    <x v="1"/>
    <n v="350"/>
    <n v="41"/>
    <n v="251694"/>
    <n v="1.91"/>
    <n v="38610"/>
    <n v="309"/>
  </r>
  <r>
    <x v="5"/>
    <x v="2"/>
    <n v="987"/>
    <n v="440"/>
    <n v="389810"/>
    <n v="4.66"/>
    <n v="2932"/>
    <n v="547"/>
  </r>
  <r>
    <x v="5"/>
    <x v="3"/>
    <n v="883"/>
    <n v="369"/>
    <n v="233694"/>
    <n v="2.88"/>
    <n v="15071"/>
    <n v="514"/>
  </r>
  <r>
    <x v="6"/>
    <x v="0"/>
    <n v="1960"/>
    <n v="115"/>
    <n v="154169"/>
    <n v="3.74"/>
    <n v="10740"/>
    <n v="1845"/>
  </r>
  <r>
    <x v="6"/>
    <x v="1"/>
    <n v="170"/>
    <n v="334"/>
    <n v="334626"/>
    <n v="6.44"/>
    <n v="43420"/>
    <n v="-164"/>
  </r>
  <r>
    <x v="6"/>
    <x v="2"/>
    <n v="704"/>
    <n v="275"/>
    <n v="226002"/>
    <n v="8.56"/>
    <n v="32393"/>
    <n v="429"/>
  </r>
  <r>
    <x v="6"/>
    <x v="3"/>
    <n v="224"/>
    <n v="64"/>
    <n v="156683"/>
    <n v="4.5599999999999996"/>
    <n v="28474"/>
    <n v="160"/>
  </r>
  <r>
    <x v="7"/>
    <x v="0"/>
    <n v="508"/>
    <n v="349"/>
    <n v="473812"/>
    <n v="7.88"/>
    <n v="17328"/>
    <n v="159"/>
  </r>
  <r>
    <x v="7"/>
    <x v="1"/>
    <n v="1391"/>
    <n v="430"/>
    <n v="295032"/>
    <n v="7.86"/>
    <n v="26067"/>
    <n v="961"/>
  </r>
  <r>
    <x v="7"/>
    <x v="2"/>
    <n v="1701"/>
    <n v="385"/>
    <n v="198278"/>
    <n v="5.34"/>
    <n v="32763"/>
    <n v="1316"/>
  </r>
  <r>
    <x v="7"/>
    <x v="3"/>
    <n v="804"/>
    <n v="487"/>
    <n v="306564"/>
    <n v="5.52"/>
    <n v="26452"/>
    <n v="317"/>
  </r>
  <r>
    <x v="8"/>
    <x v="0"/>
    <n v="653"/>
    <n v="112"/>
    <n v="23664"/>
    <n v="4.05"/>
    <n v="15353"/>
    <n v="541"/>
  </r>
  <r>
    <x v="8"/>
    <x v="1"/>
    <n v="160"/>
    <n v="478"/>
    <n v="435034"/>
    <n v="7.73"/>
    <n v="4839"/>
    <n v="-318"/>
  </r>
  <r>
    <x v="8"/>
    <x v="2"/>
    <n v="1756"/>
    <n v="261"/>
    <n v="287574"/>
    <n v="4.3600000000000003"/>
    <n v="39272"/>
    <n v="1495"/>
  </r>
  <r>
    <x v="8"/>
    <x v="3"/>
    <n v="576"/>
    <n v="101"/>
    <n v="62499"/>
    <n v="3.48"/>
    <n v="16804"/>
    <n v="475"/>
  </r>
  <r>
    <x v="9"/>
    <x v="0"/>
    <n v="645"/>
    <n v="293"/>
    <n v="437968"/>
    <n v="7.83"/>
    <n v="49303"/>
    <n v="352"/>
  </r>
  <r>
    <x v="9"/>
    <x v="1"/>
    <n v="214"/>
    <n v="411"/>
    <n v="125034"/>
    <n v="6.11"/>
    <n v="26455"/>
    <n v="-197"/>
  </r>
  <r>
    <x v="9"/>
    <x v="2"/>
    <n v="826"/>
    <n v="498"/>
    <n v="449994"/>
    <n v="9.43"/>
    <n v="12384"/>
    <n v="328"/>
  </r>
  <r>
    <x v="9"/>
    <x v="3"/>
    <n v="460"/>
    <n v="141"/>
    <n v="320650"/>
    <n v="4.04"/>
    <n v="49372"/>
    <n v="319"/>
  </r>
  <r>
    <x v="10"/>
    <x v="0"/>
    <n v="1528"/>
    <n v="203"/>
    <n v="489188"/>
    <n v="6.23"/>
    <n v="47101"/>
    <n v="1325"/>
  </r>
  <r>
    <x v="10"/>
    <x v="1"/>
    <n v="1534"/>
    <n v="200"/>
    <n v="307612"/>
    <n v="6.01"/>
    <n v="37903"/>
    <n v="1334"/>
  </r>
  <r>
    <x v="10"/>
    <x v="2"/>
    <n v="485"/>
    <n v="448"/>
    <n v="434883"/>
    <n v="8.5500000000000007"/>
    <n v="33258"/>
    <n v="37"/>
  </r>
  <r>
    <x v="10"/>
    <x v="3"/>
    <n v="1210"/>
    <n v="178"/>
    <n v="102042"/>
    <n v="5.42"/>
    <n v="6915"/>
    <n v="1032"/>
  </r>
  <r>
    <x v="11"/>
    <x v="0"/>
    <n v="215"/>
    <n v="139"/>
    <n v="325444"/>
    <n v="3.25"/>
    <n v="35501"/>
    <n v="76"/>
  </r>
  <r>
    <x v="11"/>
    <x v="1"/>
    <n v="1078"/>
    <n v="20"/>
    <n v="183924"/>
    <n v="8.84"/>
    <n v="14203"/>
    <n v="1058"/>
  </r>
  <r>
    <x v="11"/>
    <x v="2"/>
    <n v="1751"/>
    <n v="86"/>
    <n v="188655"/>
    <n v="7.24"/>
    <n v="22206"/>
    <n v="1665"/>
  </r>
  <r>
    <x v="11"/>
    <x v="3"/>
    <n v="221"/>
    <n v="31"/>
    <n v="87443"/>
    <n v="6.19"/>
    <n v="10283"/>
    <n v="190"/>
  </r>
  <r>
    <x v="12"/>
    <x v="0"/>
    <n v="1685"/>
    <n v="76"/>
    <n v="453799"/>
    <n v="5.71"/>
    <n v="24913"/>
    <n v="1609"/>
  </r>
  <r>
    <x v="12"/>
    <x v="1"/>
    <n v="248"/>
    <n v="211"/>
    <n v="379380"/>
    <n v="9.0399999999999991"/>
    <n v="26925"/>
    <n v="37"/>
  </r>
  <r>
    <x v="12"/>
    <x v="2"/>
    <n v="1300"/>
    <n v="71"/>
    <n v="186454"/>
    <n v="3.91"/>
    <n v="9942"/>
    <n v="1229"/>
  </r>
  <r>
    <x v="12"/>
    <x v="3"/>
    <n v="422"/>
    <n v="394"/>
    <n v="239044"/>
    <n v="7.83"/>
    <n v="32929"/>
    <n v="28"/>
  </r>
  <r>
    <x v="13"/>
    <x v="0"/>
    <n v="1429"/>
    <n v="182"/>
    <n v="101332"/>
    <n v="7.16"/>
    <n v="37829"/>
    <n v="1247"/>
  </r>
  <r>
    <x v="13"/>
    <x v="1"/>
    <n v="1520"/>
    <n v="475"/>
    <n v="496982"/>
    <n v="6.41"/>
    <n v="24384"/>
    <n v="1045"/>
  </r>
  <r>
    <x v="13"/>
    <x v="2"/>
    <n v="557"/>
    <n v="360"/>
    <n v="318779"/>
    <n v="8.02"/>
    <n v="25797"/>
    <n v="197"/>
  </r>
  <r>
    <x v="13"/>
    <x v="3"/>
    <n v="728"/>
    <n v="395"/>
    <n v="370971"/>
    <n v="3.86"/>
    <n v="12646"/>
    <n v="333"/>
  </r>
  <r>
    <x v="14"/>
    <x v="0"/>
    <n v="1592"/>
    <n v="20"/>
    <n v="378054"/>
    <n v="9.09"/>
    <n v="26663"/>
    <n v="1572"/>
  </r>
  <r>
    <x v="14"/>
    <x v="1"/>
    <n v="1842"/>
    <n v="414"/>
    <n v="307524"/>
    <n v="1.76"/>
    <n v="40478"/>
    <n v="1428"/>
  </r>
  <r>
    <x v="14"/>
    <x v="2"/>
    <n v="751"/>
    <n v="491"/>
    <n v="434047"/>
    <n v="9.24"/>
    <n v="15476"/>
    <n v="260"/>
  </r>
  <r>
    <x v="14"/>
    <x v="3"/>
    <n v="1409"/>
    <n v="309"/>
    <n v="64583"/>
    <n v="8.99"/>
    <n v="10217"/>
    <n v="1100"/>
  </r>
  <r>
    <x v="15"/>
    <x v="0"/>
    <n v="778"/>
    <n v="401"/>
    <n v="50793"/>
    <n v="3.4"/>
    <n v="21939"/>
    <n v="377"/>
  </r>
  <r>
    <x v="15"/>
    <x v="1"/>
    <n v="443"/>
    <n v="345"/>
    <n v="474162"/>
    <n v="9.1999999999999993"/>
    <n v="47462"/>
    <n v="98"/>
  </r>
  <r>
    <x v="15"/>
    <x v="2"/>
    <n v="1472"/>
    <n v="347"/>
    <n v="392355"/>
    <n v="8.59"/>
    <n v="30270"/>
    <n v="1125"/>
  </r>
  <r>
    <x v="15"/>
    <x v="3"/>
    <n v="123"/>
    <n v="155"/>
    <n v="119934"/>
    <n v="3.5"/>
    <n v="5442"/>
    <n v="-32"/>
  </r>
  <r>
    <x v="16"/>
    <x v="0"/>
    <n v="817"/>
    <n v="151"/>
    <n v="422625"/>
    <n v="2.36"/>
    <n v="1083"/>
    <n v="666"/>
  </r>
  <r>
    <x v="16"/>
    <x v="1"/>
    <n v="198"/>
    <n v="217"/>
    <n v="239753"/>
    <n v="7.36"/>
    <n v="11901"/>
    <n v="-19"/>
  </r>
  <r>
    <x v="16"/>
    <x v="2"/>
    <n v="1911"/>
    <n v="231"/>
    <n v="268516"/>
    <n v="8.5500000000000007"/>
    <n v="24018"/>
    <n v="1680"/>
  </r>
  <r>
    <x v="16"/>
    <x v="3"/>
    <n v="1218"/>
    <n v="212"/>
    <n v="63177"/>
    <n v="8.1300000000000008"/>
    <n v="38883"/>
    <n v="1006"/>
  </r>
  <r>
    <x v="17"/>
    <x v="0"/>
    <n v="1433"/>
    <n v="408"/>
    <n v="370269"/>
    <n v="3.3"/>
    <n v="30575"/>
    <n v="1025"/>
  </r>
  <r>
    <x v="17"/>
    <x v="1"/>
    <n v="250"/>
    <n v="429"/>
    <n v="453423"/>
    <n v="1.77"/>
    <n v="2315"/>
    <n v="-179"/>
  </r>
  <r>
    <x v="17"/>
    <x v="2"/>
    <n v="752"/>
    <n v="153"/>
    <n v="64906"/>
    <n v="2.09"/>
    <n v="12148"/>
    <n v="599"/>
  </r>
  <r>
    <x v="17"/>
    <x v="3"/>
    <n v="1918"/>
    <n v="212"/>
    <n v="94360"/>
    <n v="7.36"/>
    <n v="36851"/>
    <n v="1706"/>
  </r>
  <r>
    <x v="18"/>
    <x v="0"/>
    <n v="1939"/>
    <n v="67"/>
    <n v="187183"/>
    <n v="6.25"/>
    <n v="41215"/>
    <n v="1872"/>
  </r>
  <r>
    <x v="18"/>
    <x v="1"/>
    <n v="1929"/>
    <n v="267"/>
    <n v="379363"/>
    <n v="1.75"/>
    <n v="43836"/>
    <n v="1662"/>
  </r>
  <r>
    <x v="18"/>
    <x v="2"/>
    <n v="437"/>
    <n v="330"/>
    <n v="476486"/>
    <n v="4.97"/>
    <n v="4509"/>
    <n v="107"/>
  </r>
  <r>
    <x v="18"/>
    <x v="3"/>
    <n v="307"/>
    <n v="189"/>
    <n v="117767"/>
    <n v="9.3000000000000007"/>
    <n v="27822"/>
    <n v="118"/>
  </r>
  <r>
    <x v="19"/>
    <x v="0"/>
    <n v="1527"/>
    <n v="303"/>
    <n v="388555"/>
    <n v="8.9"/>
    <n v="36397"/>
    <n v="1224"/>
  </r>
  <r>
    <x v="19"/>
    <x v="1"/>
    <n v="643"/>
    <n v="358"/>
    <n v="157599"/>
    <n v="3.88"/>
    <n v="7285"/>
    <n v="285"/>
  </r>
  <r>
    <x v="19"/>
    <x v="2"/>
    <n v="201"/>
    <n v="221"/>
    <n v="309772"/>
    <n v="5.9"/>
    <n v="33174"/>
    <n v="-20"/>
  </r>
  <r>
    <x v="19"/>
    <x v="3"/>
    <n v="414"/>
    <n v="47"/>
    <n v="199178"/>
    <n v="1.53"/>
    <n v="6742"/>
    <n v="367"/>
  </r>
  <r>
    <x v="20"/>
    <x v="0"/>
    <n v="703"/>
    <n v="441"/>
    <n v="357089"/>
    <n v="6.5"/>
    <n v="32478"/>
    <n v="262"/>
  </r>
  <r>
    <x v="20"/>
    <x v="1"/>
    <n v="508"/>
    <n v="69"/>
    <n v="23492"/>
    <n v="3.16"/>
    <n v="42824"/>
    <n v="439"/>
  </r>
  <r>
    <x v="20"/>
    <x v="2"/>
    <n v="697"/>
    <n v="61"/>
    <n v="258287"/>
    <n v="8.25"/>
    <n v="21208"/>
    <n v="636"/>
  </r>
  <r>
    <x v="20"/>
    <x v="3"/>
    <n v="1707"/>
    <n v="223"/>
    <n v="256910"/>
    <n v="5.41"/>
    <n v="44321"/>
    <n v="1484"/>
  </r>
  <r>
    <x v="21"/>
    <x v="0"/>
    <n v="642"/>
    <n v="66"/>
    <n v="346522"/>
    <n v="5.85"/>
    <n v="13116"/>
    <n v="576"/>
  </r>
  <r>
    <x v="21"/>
    <x v="1"/>
    <n v="859"/>
    <n v="473"/>
    <n v="209987"/>
    <n v="4.46"/>
    <n v="30214"/>
    <n v="386"/>
  </r>
  <r>
    <x v="21"/>
    <x v="2"/>
    <n v="191"/>
    <n v="154"/>
    <n v="240550"/>
    <n v="5.22"/>
    <n v="15827"/>
    <n v="37"/>
  </r>
  <r>
    <x v="21"/>
    <x v="3"/>
    <n v="1814"/>
    <n v="157"/>
    <n v="305827"/>
    <n v="1.99"/>
    <n v="46643"/>
    <n v="1657"/>
  </r>
  <r>
    <x v="22"/>
    <x v="0"/>
    <n v="1466"/>
    <n v="69"/>
    <n v="54935"/>
    <n v="6.85"/>
    <n v="36484"/>
    <n v="1397"/>
  </r>
  <r>
    <x v="22"/>
    <x v="1"/>
    <n v="947"/>
    <n v="407"/>
    <n v="319186"/>
    <n v="3.32"/>
    <n v="4996"/>
    <n v="540"/>
  </r>
  <r>
    <x v="22"/>
    <x v="2"/>
    <n v="1821"/>
    <n v="218"/>
    <n v="439080"/>
    <n v="5.68"/>
    <n v="36095"/>
    <n v="1603"/>
  </r>
  <r>
    <x v="22"/>
    <x v="3"/>
    <n v="1507"/>
    <n v="463"/>
    <n v="258944"/>
    <n v="6.08"/>
    <n v="16443"/>
    <n v="1044"/>
  </r>
  <r>
    <x v="23"/>
    <x v="0"/>
    <n v="1075"/>
    <n v="173"/>
    <n v="51395"/>
    <n v="4.66"/>
    <n v="47812"/>
    <n v="902"/>
  </r>
  <r>
    <x v="23"/>
    <x v="1"/>
    <n v="171"/>
    <n v="277"/>
    <n v="309483"/>
    <n v="8.6999999999999993"/>
    <n v="38452"/>
    <n v="-106"/>
  </r>
  <r>
    <x v="23"/>
    <x v="2"/>
    <n v="1487"/>
    <n v="337"/>
    <n v="87305"/>
    <n v="2.46"/>
    <n v="30428"/>
    <n v="1150"/>
  </r>
  <r>
    <x v="23"/>
    <x v="3"/>
    <n v="454"/>
    <n v="105"/>
    <n v="121091"/>
    <n v="7.97"/>
    <n v="9269"/>
    <n v="349"/>
  </r>
  <r>
    <x v="24"/>
    <x v="0"/>
    <n v="187"/>
    <n v="236"/>
    <n v="51087"/>
    <n v="9.41"/>
    <n v="29533"/>
    <n v="-49"/>
  </r>
  <r>
    <x v="24"/>
    <x v="1"/>
    <n v="513"/>
    <n v="441"/>
    <n v="338847"/>
    <n v="2.68"/>
    <n v="39997"/>
    <n v="72"/>
  </r>
  <r>
    <x v="24"/>
    <x v="2"/>
    <n v="628"/>
    <n v="183"/>
    <n v="487523"/>
    <n v="7.32"/>
    <n v="5391"/>
    <n v="445"/>
  </r>
  <r>
    <x v="24"/>
    <x v="3"/>
    <n v="278"/>
    <n v="218"/>
    <n v="301695"/>
    <n v="4.68"/>
    <n v="22373"/>
    <n v="60"/>
  </r>
  <r>
    <x v="25"/>
    <x v="0"/>
    <n v="1854"/>
    <n v="161"/>
    <n v="282466"/>
    <n v="5.17"/>
    <n v="1810"/>
    <n v="1693"/>
  </r>
  <r>
    <x v="25"/>
    <x v="1"/>
    <n v="1710"/>
    <n v="378"/>
    <n v="336661"/>
    <n v="6.2"/>
    <n v="28498"/>
    <n v="1332"/>
  </r>
  <r>
    <x v="25"/>
    <x v="2"/>
    <n v="330"/>
    <n v="232"/>
    <n v="88455"/>
    <n v="2.69"/>
    <n v="39530"/>
    <n v="98"/>
  </r>
  <r>
    <x v="25"/>
    <x v="3"/>
    <n v="1293"/>
    <n v="408"/>
    <n v="62535"/>
    <n v="8.9"/>
    <n v="37876"/>
    <n v="885"/>
  </r>
  <r>
    <x v="26"/>
    <x v="0"/>
    <n v="1696"/>
    <n v="71"/>
    <n v="421957"/>
    <n v="3.79"/>
    <n v="36103"/>
    <n v="1625"/>
  </r>
  <r>
    <x v="26"/>
    <x v="1"/>
    <n v="1902"/>
    <n v="196"/>
    <n v="470269"/>
    <n v="4.79"/>
    <n v="26103"/>
    <n v="1706"/>
  </r>
  <r>
    <x v="26"/>
    <x v="2"/>
    <n v="1441"/>
    <n v="268"/>
    <n v="309904"/>
    <n v="6.37"/>
    <n v="3455"/>
    <n v="1173"/>
  </r>
  <r>
    <x v="26"/>
    <x v="3"/>
    <n v="452"/>
    <n v="161"/>
    <n v="221274"/>
    <n v="2.65"/>
    <n v="40888"/>
    <n v="291"/>
  </r>
  <r>
    <x v="27"/>
    <x v="0"/>
    <n v="1494"/>
    <n v="375"/>
    <n v="220616"/>
    <n v="1.81"/>
    <n v="22724"/>
    <n v="1119"/>
  </r>
  <r>
    <x v="27"/>
    <x v="1"/>
    <n v="1514"/>
    <n v="141"/>
    <n v="35842"/>
    <n v="7.47"/>
    <n v="18601"/>
    <n v="1373"/>
  </r>
  <r>
    <x v="27"/>
    <x v="2"/>
    <n v="1937"/>
    <n v="210"/>
    <n v="20607"/>
    <n v="4.2"/>
    <n v="20861"/>
    <n v="1727"/>
  </r>
  <r>
    <x v="27"/>
    <x v="3"/>
    <n v="736"/>
    <n v="163"/>
    <n v="451894"/>
    <n v="5.43"/>
    <n v="46625"/>
    <n v="573"/>
  </r>
  <r>
    <x v="28"/>
    <x v="0"/>
    <n v="1502"/>
    <n v="70"/>
    <n v="465553"/>
    <n v="3.32"/>
    <n v="20692"/>
    <n v="1432"/>
  </r>
  <r>
    <x v="28"/>
    <x v="1"/>
    <n v="1623"/>
    <n v="246"/>
    <n v="415815"/>
    <n v="8.11"/>
    <n v="18656"/>
    <n v="1377"/>
  </r>
  <r>
    <x v="28"/>
    <x v="2"/>
    <n v="1592"/>
    <n v="233"/>
    <n v="327183"/>
    <n v="6.66"/>
    <n v="13316"/>
    <n v="1359"/>
  </r>
  <r>
    <x v="28"/>
    <x v="3"/>
    <n v="1004"/>
    <n v="128"/>
    <n v="488901"/>
    <n v="8.09"/>
    <n v="49558"/>
    <n v="876"/>
  </r>
  <r>
    <x v="29"/>
    <x v="0"/>
    <n v="1092"/>
    <n v="408"/>
    <n v="280795"/>
    <n v="8.44"/>
    <n v="4683"/>
    <n v="684"/>
  </r>
  <r>
    <x v="29"/>
    <x v="1"/>
    <n v="1155"/>
    <n v="425"/>
    <n v="93347"/>
    <n v="2.02"/>
    <n v="47502"/>
    <n v="730"/>
  </r>
  <r>
    <x v="29"/>
    <x v="2"/>
    <n v="1137"/>
    <n v="226"/>
    <n v="81119"/>
    <n v="7.74"/>
    <n v="35359"/>
    <n v="911"/>
  </r>
  <r>
    <x v="29"/>
    <x v="3"/>
    <n v="1900"/>
    <n v="311"/>
    <n v="25177"/>
    <n v="2.89"/>
    <n v="14154"/>
    <n v="1589"/>
  </r>
  <r>
    <x v="30"/>
    <x v="0"/>
    <n v="1814"/>
    <n v="49"/>
    <n v="140804"/>
    <n v="1.76"/>
    <n v="4313"/>
    <n v="1765"/>
  </r>
  <r>
    <x v="30"/>
    <x v="1"/>
    <n v="1980"/>
    <n v="204"/>
    <n v="379431"/>
    <n v="3.09"/>
    <n v="25140"/>
    <n v="1776"/>
  </r>
  <r>
    <x v="30"/>
    <x v="2"/>
    <n v="1786"/>
    <n v="257"/>
    <n v="274831"/>
    <n v="4.68"/>
    <n v="9118"/>
    <n v="1529"/>
  </r>
  <r>
    <x v="30"/>
    <x v="3"/>
    <n v="1495"/>
    <n v="35"/>
    <n v="136845"/>
    <n v="4.4800000000000004"/>
    <n v="39931"/>
    <n v="1460"/>
  </r>
  <r>
    <x v="31"/>
    <x v="0"/>
    <n v="1013"/>
    <n v="110"/>
    <n v="466382"/>
    <n v="5.3"/>
    <n v="37132"/>
    <n v="903"/>
  </r>
  <r>
    <x v="31"/>
    <x v="1"/>
    <n v="816"/>
    <n v="196"/>
    <n v="95728"/>
    <n v="8.1999999999999993"/>
    <n v="17951"/>
    <n v="620"/>
  </r>
  <r>
    <x v="31"/>
    <x v="2"/>
    <n v="1633"/>
    <n v="445"/>
    <n v="371156"/>
    <n v="2.2200000000000002"/>
    <n v="2798"/>
    <n v="1188"/>
  </r>
  <r>
    <x v="31"/>
    <x v="3"/>
    <n v="891"/>
    <n v="45"/>
    <n v="95410"/>
    <n v="8.33"/>
    <n v="15045"/>
    <n v="846"/>
  </r>
  <r>
    <x v="32"/>
    <x v="0"/>
    <n v="1855"/>
    <n v="133"/>
    <n v="349413"/>
    <n v="3.3"/>
    <n v="14548"/>
    <n v="1722"/>
  </r>
  <r>
    <x v="32"/>
    <x v="1"/>
    <n v="651"/>
    <n v="353"/>
    <n v="224699"/>
    <n v="5.61"/>
    <n v="45708"/>
    <n v="298"/>
  </r>
  <r>
    <x v="32"/>
    <x v="2"/>
    <n v="118"/>
    <n v="262"/>
    <n v="487896"/>
    <n v="2.56"/>
    <n v="12350"/>
    <n v="-144"/>
  </r>
  <r>
    <x v="32"/>
    <x v="3"/>
    <n v="1331"/>
    <n v="430"/>
    <n v="14437"/>
    <n v="3.29"/>
    <n v="40868"/>
    <n v="901"/>
  </r>
  <r>
    <x v="33"/>
    <x v="0"/>
    <n v="1748"/>
    <n v="176"/>
    <n v="383681"/>
    <n v="9.24"/>
    <n v="43122"/>
    <n v="1572"/>
  </r>
  <r>
    <x v="33"/>
    <x v="1"/>
    <n v="663"/>
    <n v="236"/>
    <n v="479490"/>
    <n v="4.51"/>
    <n v="23853"/>
    <n v="427"/>
  </r>
  <r>
    <x v="33"/>
    <x v="2"/>
    <n v="1040"/>
    <n v="149"/>
    <n v="124404"/>
    <n v="5.23"/>
    <n v="45380"/>
    <n v="891"/>
  </r>
  <r>
    <x v="33"/>
    <x v="3"/>
    <n v="1166"/>
    <n v="442"/>
    <n v="336949"/>
    <n v="4.68"/>
    <n v="7705"/>
    <n v="724"/>
  </r>
  <r>
    <x v="34"/>
    <x v="0"/>
    <n v="115"/>
    <n v="281"/>
    <n v="357265"/>
    <n v="9.23"/>
    <n v="25525"/>
    <n v="-166"/>
  </r>
  <r>
    <x v="34"/>
    <x v="1"/>
    <n v="1249"/>
    <n v="351"/>
    <n v="321307"/>
    <n v="6.37"/>
    <n v="20560"/>
    <n v="898"/>
  </r>
  <r>
    <x v="34"/>
    <x v="2"/>
    <n v="1501"/>
    <n v="75"/>
    <n v="262569"/>
    <n v="2.0099999999999998"/>
    <n v="19119"/>
    <n v="1426"/>
  </r>
  <r>
    <x v="34"/>
    <x v="3"/>
    <n v="1411"/>
    <n v="186"/>
    <n v="461669"/>
    <n v="3.72"/>
    <n v="43999"/>
    <n v="1225"/>
  </r>
  <r>
    <x v="35"/>
    <x v="0"/>
    <n v="1556"/>
    <n v="476"/>
    <n v="351556"/>
    <n v="3.89"/>
    <n v="10825"/>
    <n v="1080"/>
  </r>
  <r>
    <x v="35"/>
    <x v="1"/>
    <n v="1159"/>
    <n v="411"/>
    <n v="135987"/>
    <n v="8.6999999999999993"/>
    <n v="40323"/>
    <n v="748"/>
  </r>
  <r>
    <x v="35"/>
    <x v="2"/>
    <n v="927"/>
    <n v="358"/>
    <n v="177554"/>
    <n v="6.95"/>
    <n v="48270"/>
    <n v="569"/>
  </r>
  <r>
    <x v="35"/>
    <x v="3"/>
    <n v="152"/>
    <n v="355"/>
    <n v="270766"/>
    <n v="9.48"/>
    <n v="18001"/>
    <n v="-203"/>
  </r>
  <r>
    <x v="36"/>
    <x v="0"/>
    <n v="1957"/>
    <n v="234"/>
    <n v="222126"/>
    <n v="4.6100000000000003"/>
    <n v="3314"/>
    <n v="1723"/>
  </r>
  <r>
    <x v="36"/>
    <x v="1"/>
    <n v="1294"/>
    <n v="382"/>
    <n v="309914"/>
    <n v="8.0299999999999994"/>
    <n v="23489"/>
    <n v="912"/>
  </r>
  <r>
    <x v="36"/>
    <x v="2"/>
    <n v="1587"/>
    <n v="385"/>
    <n v="126582"/>
    <n v="6.99"/>
    <n v="42832"/>
    <n v="1202"/>
  </r>
  <r>
    <x v="36"/>
    <x v="3"/>
    <n v="1707"/>
    <n v="263"/>
    <n v="485280"/>
    <n v="9.0299999999999994"/>
    <n v="24494"/>
    <n v="1444"/>
  </r>
  <r>
    <x v="37"/>
    <x v="0"/>
    <n v="1138"/>
    <n v="173"/>
    <n v="453243"/>
    <n v="2.86"/>
    <n v="44097"/>
    <n v="965"/>
  </r>
  <r>
    <x v="37"/>
    <x v="1"/>
    <n v="1895"/>
    <n v="305"/>
    <n v="104967"/>
    <n v="3.85"/>
    <n v="31853"/>
    <n v="1590"/>
  </r>
  <r>
    <x v="37"/>
    <x v="2"/>
    <n v="362"/>
    <n v="399"/>
    <n v="145608"/>
    <n v="7.3"/>
    <n v="37636"/>
    <n v="-37"/>
  </r>
  <r>
    <x v="37"/>
    <x v="3"/>
    <n v="1662"/>
    <n v="487"/>
    <n v="105980"/>
    <n v="9.08"/>
    <n v="22996"/>
    <n v="1175"/>
  </r>
  <r>
    <x v="38"/>
    <x v="0"/>
    <n v="1440"/>
    <n v="65"/>
    <n v="126524"/>
    <n v="4.34"/>
    <n v="49772"/>
    <n v="1375"/>
  </r>
  <r>
    <x v="38"/>
    <x v="1"/>
    <n v="1884"/>
    <n v="177"/>
    <n v="230448"/>
    <n v="7.8"/>
    <n v="22713"/>
    <n v="1707"/>
  </r>
  <r>
    <x v="38"/>
    <x v="2"/>
    <n v="861"/>
    <n v="153"/>
    <n v="317007"/>
    <n v="3.85"/>
    <n v="8718"/>
    <n v="708"/>
  </r>
  <r>
    <x v="38"/>
    <x v="3"/>
    <n v="1063"/>
    <n v="47"/>
    <n v="464239"/>
    <n v="6.58"/>
    <n v="39031"/>
    <n v="1016"/>
  </r>
  <r>
    <x v="39"/>
    <x v="0"/>
    <n v="1371"/>
    <n v="56"/>
    <n v="257579"/>
    <n v="8.6199999999999992"/>
    <n v="33799"/>
    <n v="1315"/>
  </r>
  <r>
    <x v="39"/>
    <x v="1"/>
    <n v="345"/>
    <n v="464"/>
    <n v="366881"/>
    <n v="4.55"/>
    <n v="20553"/>
    <n v="-119"/>
  </r>
  <r>
    <x v="39"/>
    <x v="2"/>
    <n v="946"/>
    <n v="47"/>
    <n v="466575"/>
    <n v="8.33"/>
    <n v="10002"/>
    <n v="899"/>
  </r>
  <r>
    <x v="39"/>
    <x v="3"/>
    <n v="510"/>
    <n v="195"/>
    <n v="224534"/>
    <n v="9.4"/>
    <n v="30987"/>
    <n v="315"/>
  </r>
  <r>
    <x v="40"/>
    <x v="0"/>
    <n v="393"/>
    <n v="181"/>
    <n v="462142"/>
    <n v="7.23"/>
    <n v="6296"/>
    <n v="212"/>
  </r>
  <r>
    <x v="40"/>
    <x v="1"/>
    <n v="1098"/>
    <n v="190"/>
    <n v="340842"/>
    <n v="9.39"/>
    <n v="21539"/>
    <n v="908"/>
  </r>
  <r>
    <x v="40"/>
    <x v="2"/>
    <n v="1399"/>
    <n v="49"/>
    <n v="12471"/>
    <n v="5.12"/>
    <n v="14722"/>
    <n v="1350"/>
  </r>
  <r>
    <x v="40"/>
    <x v="3"/>
    <n v="1658"/>
    <n v="416"/>
    <n v="98397"/>
    <n v="6.11"/>
    <n v="11383"/>
    <n v="1242"/>
  </r>
  <r>
    <x v="41"/>
    <x v="0"/>
    <n v="1102"/>
    <n v="422"/>
    <n v="410330"/>
    <n v="7.74"/>
    <n v="9480"/>
    <n v="680"/>
  </r>
  <r>
    <x v="41"/>
    <x v="1"/>
    <n v="1358"/>
    <n v="242"/>
    <n v="342129"/>
    <n v="4.9400000000000004"/>
    <n v="29116"/>
    <n v="1116"/>
  </r>
  <r>
    <x v="41"/>
    <x v="2"/>
    <n v="1077"/>
    <n v="216"/>
    <n v="12447"/>
    <n v="1.8"/>
    <n v="14068"/>
    <n v="861"/>
  </r>
  <r>
    <x v="41"/>
    <x v="3"/>
    <n v="1596"/>
    <n v="211"/>
    <n v="17380"/>
    <n v="8.64"/>
    <n v="35801"/>
    <n v="1385"/>
  </r>
  <r>
    <x v="42"/>
    <x v="0"/>
    <n v="490"/>
    <n v="29"/>
    <n v="364810"/>
    <n v="1.53"/>
    <n v="49077"/>
    <n v="461"/>
  </r>
  <r>
    <x v="42"/>
    <x v="1"/>
    <n v="609"/>
    <n v="135"/>
    <n v="373606"/>
    <n v="8.52"/>
    <n v="21453"/>
    <n v="474"/>
  </r>
  <r>
    <x v="42"/>
    <x v="2"/>
    <n v="364"/>
    <n v="72"/>
    <n v="211090"/>
    <n v="5.53"/>
    <n v="21061"/>
    <n v="292"/>
  </r>
  <r>
    <x v="42"/>
    <x v="3"/>
    <n v="442"/>
    <n v="53"/>
    <n v="441931"/>
    <n v="1.87"/>
    <n v="20059"/>
    <n v="389"/>
  </r>
  <r>
    <x v="43"/>
    <x v="0"/>
    <n v="1033"/>
    <n v="392"/>
    <n v="282780"/>
    <n v="6.27"/>
    <n v="23140"/>
    <n v="641"/>
  </r>
  <r>
    <x v="43"/>
    <x v="1"/>
    <n v="988"/>
    <n v="474"/>
    <n v="370070"/>
    <n v="9.4600000000000009"/>
    <n v="23461"/>
    <n v="514"/>
  </r>
  <r>
    <x v="43"/>
    <x v="2"/>
    <n v="1946"/>
    <n v="270"/>
    <n v="198350"/>
    <n v="7.5"/>
    <n v="11805"/>
    <n v="1676"/>
  </r>
  <r>
    <x v="43"/>
    <x v="3"/>
    <n v="1957"/>
    <n v="490"/>
    <n v="435726"/>
    <n v="4.7300000000000004"/>
    <n v="15969"/>
    <n v="1467"/>
  </r>
  <r>
    <x v="44"/>
    <x v="0"/>
    <n v="559"/>
    <n v="392"/>
    <n v="78789"/>
    <n v="3.19"/>
    <n v="2436"/>
    <n v="167"/>
  </r>
  <r>
    <x v="44"/>
    <x v="1"/>
    <n v="1307"/>
    <n v="278"/>
    <n v="98596"/>
    <n v="2.4900000000000002"/>
    <n v="47603"/>
    <n v="1029"/>
  </r>
  <r>
    <x v="44"/>
    <x v="2"/>
    <n v="1432"/>
    <n v="425"/>
    <n v="29589"/>
    <n v="4.5"/>
    <n v="42964"/>
    <n v="1007"/>
  </r>
  <r>
    <x v="44"/>
    <x v="3"/>
    <n v="623"/>
    <n v="414"/>
    <n v="290354"/>
    <n v="6.49"/>
    <n v="39923"/>
    <n v="209"/>
  </r>
  <r>
    <x v="45"/>
    <x v="0"/>
    <n v="198"/>
    <n v="358"/>
    <n v="66682"/>
    <n v="6.73"/>
    <n v="2293"/>
    <n v="-160"/>
  </r>
  <r>
    <x v="45"/>
    <x v="1"/>
    <n v="198"/>
    <n v="373"/>
    <n v="70707"/>
    <n v="4.83"/>
    <n v="25920"/>
    <n v="-175"/>
  </r>
  <r>
    <x v="45"/>
    <x v="2"/>
    <n v="353"/>
    <n v="300"/>
    <n v="142507"/>
    <n v="5.3"/>
    <n v="11035"/>
    <n v="53"/>
  </r>
  <r>
    <x v="45"/>
    <x v="3"/>
    <n v="520"/>
    <n v="375"/>
    <n v="369525"/>
    <n v="6.54"/>
    <n v="20733"/>
    <n v="145"/>
  </r>
  <r>
    <x v="46"/>
    <x v="0"/>
    <n v="961"/>
    <n v="358"/>
    <n v="62942"/>
    <n v="6.8"/>
    <n v="18693"/>
    <n v="603"/>
  </r>
  <r>
    <x v="46"/>
    <x v="1"/>
    <n v="1375"/>
    <n v="330"/>
    <n v="377382"/>
    <n v="2.6"/>
    <n v="7875"/>
    <n v="1045"/>
  </r>
  <r>
    <x v="46"/>
    <x v="2"/>
    <n v="1147"/>
    <n v="388"/>
    <n v="333851"/>
    <n v="2.44"/>
    <n v="8471"/>
    <n v="759"/>
  </r>
  <r>
    <x v="46"/>
    <x v="3"/>
    <n v="1707"/>
    <n v="74"/>
    <n v="270958"/>
    <n v="3.09"/>
    <n v="14090"/>
    <n v="1633"/>
  </r>
  <r>
    <x v="47"/>
    <x v="0"/>
    <n v="1693"/>
    <n v="154"/>
    <n v="445944"/>
    <n v="5.69"/>
    <n v="14216"/>
    <n v="1539"/>
  </r>
  <r>
    <x v="47"/>
    <x v="1"/>
    <n v="833"/>
    <n v="380"/>
    <n v="224830"/>
    <n v="3.86"/>
    <n v="3582"/>
    <n v="453"/>
  </r>
  <r>
    <x v="47"/>
    <x v="2"/>
    <n v="1222"/>
    <n v="274"/>
    <n v="487289"/>
    <n v="3.16"/>
    <n v="32500"/>
    <n v="948"/>
  </r>
  <r>
    <x v="47"/>
    <x v="3"/>
    <n v="777"/>
    <n v="140"/>
    <n v="11435"/>
    <n v="1.6"/>
    <n v="6832"/>
    <n v="637"/>
  </r>
  <r>
    <x v="48"/>
    <x v="0"/>
    <n v="1957"/>
    <n v="76"/>
    <n v="447902"/>
    <n v="6.09"/>
    <n v="33381"/>
    <n v="1881"/>
  </r>
  <r>
    <x v="48"/>
    <x v="1"/>
    <n v="405"/>
    <n v="66"/>
    <n v="418696"/>
    <n v="5.59"/>
    <n v="48419"/>
    <n v="339"/>
  </r>
  <r>
    <x v="48"/>
    <x v="2"/>
    <n v="1581"/>
    <n v="71"/>
    <n v="484364"/>
    <n v="3.55"/>
    <n v="16149"/>
    <n v="1510"/>
  </r>
  <r>
    <x v="48"/>
    <x v="3"/>
    <n v="1035"/>
    <n v="171"/>
    <n v="148477"/>
    <n v="5.21"/>
    <n v="7541"/>
    <n v="864"/>
  </r>
  <r>
    <x v="49"/>
    <x v="0"/>
    <n v="1765"/>
    <n v="109"/>
    <n v="468301"/>
    <n v="1.82"/>
    <n v="20042"/>
    <n v="1656"/>
  </r>
  <r>
    <x v="49"/>
    <x v="1"/>
    <n v="837"/>
    <n v="430"/>
    <n v="364820"/>
    <n v="4"/>
    <n v="49400"/>
    <n v="407"/>
  </r>
  <r>
    <x v="49"/>
    <x v="2"/>
    <n v="337"/>
    <n v="68"/>
    <n v="456298"/>
    <n v="7.57"/>
    <n v="4007"/>
    <n v="269"/>
  </r>
  <r>
    <x v="49"/>
    <x v="3"/>
    <n v="119"/>
    <n v="456"/>
    <n v="82558"/>
    <n v="6.81"/>
    <n v="12174"/>
    <n v="-3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948A7E-8042-4127-B8E6-E4366790668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shtags">
  <location ref="B37:C44" firstHeaderRow="1" firstDataRow="1" firstDataCol="1"/>
  <pivotFields count="16">
    <pivotField showAll="0"/>
    <pivotField showAll="0"/>
    <pivotField numFmtId="22"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7">
        <item x="1"/>
        <item x="3"/>
        <item x="0"/>
        <item x="2"/>
        <item x="5"/>
        <item x="4"/>
        <item t="default"/>
      </items>
    </pivotField>
  </pivotFields>
  <rowFields count="1">
    <field x="15"/>
  </rowFields>
  <rowItems count="7">
    <i>
      <x/>
    </i>
    <i>
      <x v="1"/>
    </i>
    <i>
      <x v="2"/>
    </i>
    <i>
      <x v="3"/>
    </i>
    <i>
      <x v="4"/>
    </i>
    <i>
      <x v="5"/>
    </i>
    <i t="grand">
      <x/>
    </i>
  </rowItems>
  <colItems count="1">
    <i/>
  </colItems>
  <dataFields count="1">
    <dataField name="Average Clicks" fld="10" subtotal="average" baseField="15" baseItem="0" numFmtId="2"/>
  </dataFields>
  <formats count="5">
    <format dxfId="11">
      <pivotArea outline="0" collapsedLevelsAreSubtotals="1" fieldPosition="0"/>
    </format>
    <format dxfId="10">
      <pivotArea field="15" type="button" dataOnly="0" labelOnly="1" outline="0" axis="axisRow" fieldPosition="0"/>
    </format>
    <format dxfId="9">
      <pivotArea dataOnly="0" labelOnly="1" outline="0" axis="axisValues" fieldPosition="0"/>
    </format>
    <format dxfId="8">
      <pivotArea field="15" type="button" dataOnly="0" labelOnly="1" outline="0" axis="axisRow"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04FD56-34D4-4E69-AAA7-FB9BADD6C831}"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ontent Type" colHeaderCaption="Platforms">
  <location ref="B25:N34" firstHeaderRow="1" firstDataRow="3" firstDataCol="1"/>
  <pivotFields count="17">
    <pivotField showAll="0" defaultSubtotal="0"/>
    <pivotField axis="axisCol" showAll="0" defaultSubtotal="0">
      <items count="4">
        <item x="3"/>
        <item x="2"/>
        <item x="0"/>
        <item x="1"/>
      </items>
    </pivotField>
    <pivotField numFmtId="14" showAll="0" defaultSubtotal="0"/>
    <pivotField axis="axisRow" showAll="0" defaultSubtotal="0">
      <items count="6">
        <item x="3"/>
        <item x="4"/>
        <item x="0"/>
        <item x="2"/>
        <item x="1"/>
        <item x="5"/>
      </items>
    </pivotField>
    <pivotField showAll="0" defaultSubtotal="0"/>
    <pivotField dataField="1" numFmtId="1" showAll="0" defaultSubtotal="0"/>
    <pivotField dataField="1" numFmtId="1" showAll="0" defaultSubtotal="0"/>
    <pivotField dataField="1" numFmtId="1" showAll="0" defaultSubtotal="0"/>
    <pivotField numFmtId="1" showAll="0" defaultSubtotal="0"/>
    <pivotField numFmtId="1" showAll="0" defaultSubtotal="0"/>
    <pivotField numFmtId="1" showAll="0" defaultSubtotal="0"/>
    <pivotField showAll="0" defaultSubtotal="0"/>
    <pivotField showAll="0" defaultSubtotal="0"/>
    <pivotField showAll="0" defaultSubtotal="0"/>
    <pivotField showAll="0" defaultSubtotal="0"/>
    <pivotField showAll="0" defaultSubtotal="0"/>
    <pivotField numFmtId="165" showAll="0" defaultSubtotal="0"/>
  </pivotFields>
  <rowFields count="1">
    <field x="3"/>
  </rowFields>
  <rowItems count="7">
    <i>
      <x/>
    </i>
    <i>
      <x v="1"/>
    </i>
    <i>
      <x v="2"/>
    </i>
    <i>
      <x v="3"/>
    </i>
    <i>
      <x v="4"/>
    </i>
    <i>
      <x v="5"/>
    </i>
    <i t="grand">
      <x/>
    </i>
  </rowItems>
  <colFields count="2">
    <field x="1"/>
    <field x="-2"/>
  </colFields>
  <colItems count="12">
    <i>
      <x/>
      <x/>
    </i>
    <i r="1" i="1">
      <x v="1"/>
    </i>
    <i r="1" i="2">
      <x v="2"/>
    </i>
    <i>
      <x v="1"/>
      <x/>
    </i>
    <i r="1" i="1">
      <x v="1"/>
    </i>
    <i r="1" i="2">
      <x v="2"/>
    </i>
    <i>
      <x v="2"/>
      <x/>
    </i>
    <i r="1" i="1">
      <x v="1"/>
    </i>
    <i r="1" i="2">
      <x v="2"/>
    </i>
    <i>
      <x v="3"/>
      <x/>
    </i>
    <i r="1" i="1">
      <x v="1"/>
    </i>
    <i r="1" i="2">
      <x v="2"/>
    </i>
  </colItems>
  <dataFields count="3">
    <dataField name="Total Likes" fld="5" baseField="0" baseItem="0" numFmtId="1"/>
    <dataField name="Total Shares" fld="6" baseField="0" baseItem="0" numFmtId="1"/>
    <dataField name="Total Comments"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FA0501-94A2-4697-B445-3154F80678F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
  <location ref="C4:E9" firstHeaderRow="0" firstDataRow="1" firstDataCol="1"/>
  <pivotFields count="18">
    <pivotField showAll="0"/>
    <pivotField axis="axisRow" showAll="0">
      <items count="5">
        <item x="3"/>
        <item x="2"/>
        <item x="0"/>
        <item x="1"/>
        <item t="default"/>
      </items>
    </pivotField>
    <pivotField numFmtId="14" showAll="0"/>
    <pivotField showAll="0"/>
    <pivotField showAll="0"/>
    <pivotField numFmtId="1" showAll="0"/>
    <pivotField numFmtId="1" showAll="0"/>
    <pivotField numFmtId="1" showAll="0"/>
    <pivotField numFmtId="1" showAll="0"/>
    <pivotField numFmtId="1" showAll="0"/>
    <pivotField numFmtId="1" showAll="0"/>
    <pivotField dataField="1" numFmtId="1" showAll="0"/>
    <pivotField showAll="0"/>
    <pivotField showAll="0"/>
    <pivotField showAll="0"/>
    <pivotField showAll="0"/>
    <pivotField showAll="0"/>
    <pivotField dataField="1" numFmtId="9" showAll="0"/>
  </pivotFields>
  <rowFields count="1">
    <field x="1"/>
  </rowFields>
  <rowItems count="5">
    <i>
      <x/>
    </i>
    <i>
      <x v="1"/>
    </i>
    <i>
      <x v="2"/>
    </i>
    <i>
      <x v="3"/>
    </i>
    <i t="grand">
      <x/>
    </i>
  </rowItems>
  <colFields count="1">
    <field x="-2"/>
  </colFields>
  <colItems count="2">
    <i>
      <x/>
    </i>
    <i i="1">
      <x v="1"/>
    </i>
  </colItems>
  <dataFields count="2">
    <dataField name="Total Engagement" fld="11" baseField="0" baseItem="0" numFmtId="1"/>
    <dataField name="Average Engagement_Rate" fld="17" subtotal="average" baseField="1"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5D1CAE-0023-4987-9D0E-E88376D650B0}"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ntent Type" colHeaderCaption="Platform">
  <location ref="C26:G30" firstHeaderRow="1" firstDataRow="2" firstDataCol="1"/>
  <pivotFields count="16">
    <pivotField showAll="0" defaultSubtotal="0"/>
    <pivotField axis="axisCol" showAll="0" defaultSubtotal="0">
      <items count="4">
        <item x="3"/>
        <item x="2"/>
        <item x="0"/>
        <item x="1"/>
      </items>
    </pivotField>
    <pivotField numFmtId="22" showAll="0" defaultSubtotal="0"/>
    <pivotField axis="axisRow" showAll="0" defaultSubtotal="0">
      <items count="6">
        <item x="3"/>
        <item x="4"/>
        <item h="1" x="0"/>
        <item h="1" x="2"/>
        <item h="1" x="1"/>
        <item x="5"/>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s>
  <rowFields count="1">
    <field x="3"/>
  </rowFields>
  <rowItems count="3">
    <i>
      <x/>
    </i>
    <i>
      <x v="1"/>
    </i>
    <i>
      <x v="5"/>
    </i>
  </rowItems>
  <colFields count="1">
    <field x="1"/>
  </colFields>
  <colItems count="4">
    <i>
      <x/>
    </i>
    <i>
      <x v="1"/>
    </i>
    <i>
      <x v="2"/>
    </i>
    <i>
      <x v="3"/>
    </i>
  </colItems>
  <dataFields count="1">
    <dataField name="Average Engagement_Rate" fld="13" subtotal="average" baseField="3" baseItem="0" numFmtId="9"/>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1B8E8E-D692-4ACD-8BC3-66D895C2195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shtags">
  <location ref="C2:D9" firstHeaderRow="1" firstDataRow="1" firstDataCol="1"/>
  <pivotFields count="16">
    <pivotField dataField="1"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1"/>
        <item x="3"/>
        <item x="0"/>
        <item x="2"/>
        <item x="5"/>
        <item x="4"/>
        <item t="default"/>
      </items>
    </pivotField>
  </pivotFields>
  <rowFields count="1">
    <field x="15"/>
  </rowFields>
  <rowItems count="7">
    <i>
      <x/>
    </i>
    <i>
      <x v="1"/>
    </i>
    <i>
      <x v="2"/>
    </i>
    <i>
      <x v="3"/>
    </i>
    <i>
      <x v="4"/>
    </i>
    <i>
      <x v="5"/>
    </i>
    <i t="grand">
      <x/>
    </i>
  </rowItems>
  <colItems count="1">
    <i/>
  </colItems>
  <dataFields count="1">
    <dataField name="Times Used" fld="0" subtotal="count" baseField="0" baseItem="0"/>
  </dataFields>
  <conditionalFormats count="1">
    <conditionalFormat priority="1">
      <pivotAreas count="1">
        <pivotArea type="data" collapsedLevelsAreSubtotals="1" fieldPosition="0">
          <references count="2">
            <reference field="4294967294" count="1" selected="0">
              <x v="0"/>
            </reference>
            <reference field="15"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D5300A-207A-4B59-906F-66640C55154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shtags">
  <location ref="C13:G20" firstHeaderRow="0" firstDataRow="1" firstDataCol="1"/>
  <pivotFields count="16">
    <pivotField showAll="0"/>
    <pivotField showAll="0"/>
    <pivotField numFmtId="22" showAll="0"/>
    <pivotField showAll="0"/>
    <pivotField showAll="0"/>
    <pivotField dataField="1" showAll="0"/>
    <pivotField dataField="1" showAll="0"/>
    <pivotField dataField="1" showAll="0"/>
    <pivotField showAll="0"/>
    <pivotField showAll="0"/>
    <pivotField dataField="1" showAll="0"/>
    <pivotField showAll="0"/>
    <pivotField showAll="0"/>
    <pivotField showAll="0"/>
    <pivotField showAll="0"/>
    <pivotField axis="axisRow" showAll="0">
      <items count="7">
        <item x="1"/>
        <item x="3"/>
        <item x="0"/>
        <item x="2"/>
        <item x="5"/>
        <item x="4"/>
        <item t="default"/>
      </items>
    </pivotField>
  </pivotFields>
  <rowFields count="1">
    <field x="15"/>
  </rowFields>
  <rowItems count="7">
    <i>
      <x/>
    </i>
    <i>
      <x v="1"/>
    </i>
    <i>
      <x v="2"/>
    </i>
    <i>
      <x v="3"/>
    </i>
    <i>
      <x v="4"/>
    </i>
    <i>
      <x v="5"/>
    </i>
    <i t="grand">
      <x/>
    </i>
  </rowItems>
  <colFields count="1">
    <field x="-2"/>
  </colFields>
  <colItems count="4">
    <i>
      <x/>
    </i>
    <i i="1">
      <x v="1"/>
    </i>
    <i i="2">
      <x v="2"/>
    </i>
    <i i="3">
      <x v="3"/>
    </i>
  </colItems>
  <dataFields count="4">
    <dataField name="Average Likes" fld="5" subtotal="average" baseField="15" baseItem="0"/>
    <dataField name="Average Comments" fld="7" subtotal="average" baseField="15" baseItem="0"/>
    <dataField name="Average Shares" fld="6" subtotal="average" baseField="15" baseItem="0"/>
    <dataField name="Average Clicks" fld="10" subtotal="average" baseField="15"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AEC3FF-A58B-456C-B879-F3448EAF02A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_Name">
  <location ref="C4:I9" firstHeaderRow="0" firstDataRow="1" firstDataCol="1"/>
  <pivotFields count="17">
    <pivotField showAll="0"/>
    <pivotField showAll="0"/>
    <pivotField numFmtId="14" showAll="0"/>
    <pivotField showAll="0"/>
    <pivotField showAll="0"/>
    <pivotField dataField="1" numFmtId="1" showAll="0"/>
    <pivotField numFmtId="1" showAll="0"/>
    <pivotField numFmtId="1" showAll="0"/>
    <pivotField dataField="1" numFmtId="1" showAll="0"/>
    <pivotField numFmtId="1" showAll="0"/>
    <pivotField dataField="1" numFmtId="1" showAll="0"/>
    <pivotField showAll="0"/>
    <pivotField showAll="0"/>
    <pivotField showAll="0"/>
    <pivotField showAll="0"/>
    <pivotField axis="axisRow" showAll="0">
      <items count="6">
        <item x="3"/>
        <item x="1"/>
        <item x="2"/>
        <item x="0"/>
        <item h="1" x="4"/>
        <item t="default"/>
      </items>
    </pivotField>
    <pivotField numFmtId="165" showAll="0"/>
  </pivotFields>
  <rowFields count="1">
    <field x="15"/>
  </rowFields>
  <rowItems count="5">
    <i>
      <x/>
    </i>
    <i>
      <x v="1"/>
    </i>
    <i>
      <x v="2"/>
    </i>
    <i>
      <x v="3"/>
    </i>
    <i t="grand">
      <x/>
    </i>
  </rowItems>
  <colFields count="1">
    <field x="-2"/>
  </colFields>
  <colItems count="6">
    <i>
      <x/>
    </i>
    <i i="1">
      <x v="1"/>
    </i>
    <i i="2">
      <x v="2"/>
    </i>
    <i i="3">
      <x v="3"/>
    </i>
    <i i="4">
      <x v="4"/>
    </i>
    <i i="5">
      <x v="5"/>
    </i>
  </colItems>
  <dataFields count="6">
    <dataField name="Total Impressions" fld="8" baseField="0" baseItem="0" numFmtId="1"/>
    <dataField name="Average Impressions" fld="8" subtotal="average" baseField="15" baseItem="0" numFmtId="1"/>
    <dataField name="Total Likes" fld="5" baseField="0" baseItem="0" numFmtId="1"/>
    <dataField name="Average Likes" fld="5" subtotal="average" baseField="15" baseItem="0" numFmtId="1"/>
    <dataField name="Total Clicks" fld="10" baseField="0" baseItem="0" numFmtId="1"/>
    <dataField name="Average Clicks" fld="10" subtotal="average" baseField="1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676B19-E2A1-4BB8-810D-93CBE39C56DE}"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colHeaderCaption="Platform">
  <location ref="C68:G119" firstHeaderRow="1" firstDataRow="2" firstDataCol="1"/>
  <pivotFields count="11">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1"/>
        <item x="0"/>
        <item x="2"/>
        <item x="3"/>
        <item t="default"/>
      </items>
    </pivotField>
    <pivotField numFmtId="1" showAll="0"/>
    <pivotField numFmtId="1" showAll="0"/>
    <pivotField numFmtId="1" showAll="0"/>
    <pivotField numFmtId="2" showAll="0"/>
    <pivotField numFmtId="164" showAll="0"/>
    <pivotField dataField="1" numFmtI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1"/>
  </colFields>
  <colItems count="4">
    <i>
      <x/>
    </i>
    <i>
      <x v="1"/>
    </i>
    <i>
      <x v="2"/>
    </i>
    <i>
      <x v="3"/>
    </i>
  </colItems>
  <dataFields count="1">
    <dataField name="Sum of Net Growth"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AD72A9-7EA7-412F-880F-4FA5FDD7B863}"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Weekdates" colHeaderCaption="Platform">
  <location ref="C4:G55" firstHeaderRow="1" firstDataRow="2" firstDataCol="1"/>
  <pivotFields count="11">
    <pivotField axis="axisRow" numFmtId="1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Col" showAll="0">
      <items count="5">
        <item x="1"/>
        <item x="0"/>
        <item x="2"/>
        <item x="3"/>
        <item t="default"/>
      </items>
    </pivotField>
    <pivotField numFmtId="1" showAll="0"/>
    <pivotField numFmtId="1" showAll="0"/>
    <pivotField numFmtId="1" showAll="0"/>
    <pivotField numFmtId="2" showAll="0"/>
    <pivotField numFmtId="164"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rowItems>
  <colFields count="1">
    <field x="1"/>
  </colFields>
  <colItems count="4">
    <i>
      <x/>
    </i>
    <i>
      <x v="1"/>
    </i>
    <i>
      <x v="2"/>
    </i>
    <i>
      <x v="3"/>
    </i>
  </colItems>
  <dataFields count="1">
    <dataField name="Net Growth Per Platform" fld="7" baseField="0" baseItem="0" numFmtId="1"/>
  </dataFields>
  <chartFormats count="5">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72EA3E5-9E4D-41DD-9450-4350E90ED456}" autoFormatId="16" applyNumberFormats="0" applyBorderFormats="0" applyFontFormats="0" applyPatternFormats="0" applyAlignmentFormats="0" applyWidthHeightFormats="0">
  <queryTableRefresh nextId="18">
    <queryTableFields count="17">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7" dataBound="0" tableColumnId="17"/>
      <queryTableField id="12" name="Hashtags Used" tableColumnId="12"/>
      <queryTableField id="13" name="Campaign_Name" tableColumnId="13"/>
      <queryTableField id="14" name="Engagement_Rate" tableColumnId="14"/>
      <queryTableField id="15" name="Attribute" tableColumnId="15"/>
      <queryTableField id="16" name="Hashtag" tableColumnId="1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3A2E50-B968-43C9-B71E-1BAF096CC3B8}" name="Table2" displayName="Table2" ref="A1:R301" totalsRowShown="0" headerRowDxfId="43" dataDxfId="41" headerRowBorderDxfId="42" tableBorderDxfId="40">
  <autoFilter ref="A1:R301" xr:uid="{D93A2E50-B968-43C9-B71E-1BAF096CC3B8}"/>
  <tableColumns count="18">
    <tableColumn id="1" xr3:uid="{6F6DC6E2-F677-460D-80A3-22EDCA43D93E}" name="Post ID" dataDxfId="39"/>
    <tableColumn id="2" xr3:uid="{5FCDD587-4EF7-4ADD-A813-748F1195E999}" name="Platform" dataDxfId="38"/>
    <tableColumn id="3" xr3:uid="{9C088849-1F93-4367-8322-BF6E64CC0430}" name="Date" dataDxfId="37"/>
    <tableColumn id="4" xr3:uid="{47845560-9052-4615-A361-BBEB49928EAF}" name="Content Type" dataDxfId="36"/>
    <tableColumn id="5" xr3:uid="{C8896C95-358B-43BE-8070-A1B25FB836B4}" name="Post Text" dataDxfId="35"/>
    <tableColumn id="6" xr3:uid="{6ECB08E1-B081-4060-8F91-54956F93BAFD}" name="Likes" dataDxfId="34"/>
    <tableColumn id="7" xr3:uid="{C4CD520A-3021-44BC-8464-BC03C22F5630}" name="Shares" dataDxfId="33"/>
    <tableColumn id="8" xr3:uid="{6606F517-C6D9-4EB9-BBF4-53EFBFC34B70}" name="Comments" dataDxfId="32"/>
    <tableColumn id="9" xr3:uid="{9040D9A3-7B97-4CDD-B08F-932DB02EA788}" name="Impressions" dataDxfId="31"/>
    <tableColumn id="10" xr3:uid="{76600A78-5C6C-4ED3-A172-A3E48A865AA8}" name="Reach" dataDxfId="30"/>
    <tableColumn id="11" xr3:uid="{2EE5B6DD-2FC3-4972-B014-DFC12C19905C}" name="Clicks" dataDxfId="29"/>
    <tableColumn id="12" xr3:uid="{9328A3D1-0932-4E48-A2D4-827D41305E67}" name="Engagement" dataDxfId="28">
      <calculatedColumnFormula>SUM($F2:$H2)</calculatedColumnFormula>
    </tableColumn>
    <tableColumn id="13" xr3:uid="{3865F1E1-4E81-4F60-9B98-A436E3B02A46}" name="Hashtags Used" dataDxfId="27"/>
    <tableColumn id="14" xr3:uid="{8A32513E-88A3-4B0C-8577-CAAC83B45194}" name="Hashtag 1" dataDxfId="26"/>
    <tableColumn id="15" xr3:uid="{D8E85B21-5BBA-4128-B4EC-DF6D2F1CCCE8}" name="Hashtag 2" dataDxfId="25"/>
    <tableColumn id="16" xr3:uid="{836B5540-151A-4A06-A945-C4C329720989}" name="Hashtag 3" dataDxfId="24"/>
    <tableColumn id="17" xr3:uid="{154B710E-2CE5-4A44-BCA3-A1FB436F1F3C}" name="Campaign_Name" dataDxfId="23"/>
    <tableColumn id="18" xr3:uid="{943E1C36-E7C2-412D-877D-1F6CEE972A63}" name="Engagement_Rate" dataDxfId="22" dataCellStyle="Percent">
      <calculatedColumnFormula>SUM(F2:H2)/I2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E5335E-1EBB-4F2E-AA3A-31FDB25E436F}" name="Table2_1" displayName="Table2_1" ref="A1:Q340" tableType="queryTable" totalsRowShown="0">
  <autoFilter ref="A1:Q340" xr:uid="{C3E5335E-1EBB-4F2E-AA3A-31FDB25E436F}"/>
  <sortState xmlns:xlrd2="http://schemas.microsoft.com/office/spreadsheetml/2017/richdata2" ref="A2:Q340">
    <sortCondition ref="C1:C340"/>
  </sortState>
  <tableColumns count="17">
    <tableColumn id="1" xr3:uid="{E870E180-B736-4264-B053-EB27E435A54D}" uniqueName="1" name="Post ID" queryTableFieldId="1" dataDxfId="21"/>
    <tableColumn id="2" xr3:uid="{190B6CB7-FBA9-4CC2-AC76-C68EA06799B9}" uniqueName="2" name="Platform" queryTableFieldId="2" dataDxfId="20"/>
    <tableColumn id="3" xr3:uid="{14A887F4-AF34-4451-8AA0-E60B7101A160}" uniqueName="3" name="Date" queryTableFieldId="3" dataDxfId="19"/>
    <tableColumn id="4" xr3:uid="{E2AACDC8-098F-4A5A-AA5F-C18F91658BFF}" uniqueName="4" name="Content Type" queryTableFieldId="4" dataDxfId="18"/>
    <tableColumn id="5" xr3:uid="{25A5190F-3F34-49CC-B400-0E82591662DC}" uniqueName="5" name="Post Text" queryTableFieldId="5" dataDxfId="17"/>
    <tableColumn id="6" xr3:uid="{41EA0962-68E4-4643-8CFD-FB3AC65F0F75}" uniqueName="6" name="Likes" queryTableFieldId="6"/>
    <tableColumn id="7" xr3:uid="{861F3DA7-AE3C-4DB1-819F-97F579BB8B64}" uniqueName="7" name="Shares" queryTableFieldId="7"/>
    <tableColumn id="8" xr3:uid="{30F9336B-982C-4F24-A46E-FF4C6A557E36}" uniqueName="8" name="Comments" queryTableFieldId="8"/>
    <tableColumn id="9" xr3:uid="{05981D76-1007-4493-97CC-BD0328B6A1C1}" uniqueName="9" name="Impressions" queryTableFieldId="9"/>
    <tableColumn id="10" xr3:uid="{925735EB-107D-41A9-BDDC-873818C4C8E0}" uniqueName="10" name="Reach" queryTableFieldId="10"/>
    <tableColumn id="11" xr3:uid="{9D484577-5EE8-4413-941B-AC65E1501C0A}" uniqueName="11" name="Clicks" queryTableFieldId="11"/>
    <tableColumn id="17" xr3:uid="{AC7D6E8E-A91D-427B-B0C4-86D0CF093059}" uniqueName="17" name="Engagement" queryTableFieldId="17" dataDxfId="16">
      <calculatedColumnFormula>SUM(Table2_1[[#This Row],[Likes]:[Comments]])</calculatedColumnFormula>
    </tableColumn>
    <tableColumn id="12" xr3:uid="{A5DF3B2F-3663-41D8-B654-ACB424DEBA1D}" uniqueName="12" name="Hashtags Used" queryTableFieldId="12" dataDxfId="15"/>
    <tableColumn id="13" xr3:uid="{A70C57A0-CFB9-434D-8059-7A839FD05510}" uniqueName="13" name="Campaign_Name" queryTableFieldId="13" dataDxfId="14"/>
    <tableColumn id="14" xr3:uid="{EC64EA4C-1501-4CC9-9010-174B3BA1C85D}" uniqueName="14" name="Engagement_Rate" queryTableFieldId="14" dataCellStyle="Percent"/>
    <tableColumn id="15" xr3:uid="{65817733-4F73-4098-90C0-9DBA3979F6FE}" uniqueName="15" name="Attribute" queryTableFieldId="15" dataDxfId="13"/>
    <tableColumn id="16" xr3:uid="{24055403-B084-46D1-8B91-EF0D6AD9B058}" uniqueName="16" name="Hashtag" queryTableFieldId="16"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topLeftCell="E1" zoomScale="90" zoomScaleNormal="90" workbookViewId="0">
      <selection activeCell="M10" sqref="M10"/>
    </sheetView>
  </sheetViews>
  <sheetFormatPr defaultColWidth="14.44140625" defaultRowHeight="15" customHeight="1" x14ac:dyDescent="0.3"/>
  <cols>
    <col min="1" max="1" width="12.33203125" bestFit="1" customWidth="1"/>
    <col min="2" max="2" width="13.5546875" bestFit="1" customWidth="1"/>
    <col min="3" max="3" width="16.109375" style="11" customWidth="1"/>
    <col min="4" max="4" width="13.109375" bestFit="1" customWidth="1"/>
    <col min="5" max="5" width="39.33203125" bestFit="1" customWidth="1"/>
    <col min="6" max="6" width="10.33203125" style="20" bestFit="1" customWidth="1"/>
    <col min="7" max="7" width="11.88671875" style="20" bestFit="1" customWidth="1"/>
    <col min="8" max="8" width="15.5546875" style="20" bestFit="1" customWidth="1"/>
    <col min="9" max="9" width="16.6640625" style="20" bestFit="1" customWidth="1"/>
    <col min="10" max="10" width="11.33203125" style="20" bestFit="1" customWidth="1"/>
    <col min="11" max="11" width="10.88671875" style="20" bestFit="1" customWidth="1"/>
    <col min="12" max="12" width="16.88671875" style="20" bestFit="1" customWidth="1"/>
    <col min="13" max="14" width="53.44140625" bestFit="1" customWidth="1"/>
    <col min="15" max="16" width="53.44140625" customWidth="1"/>
    <col min="17" max="17" width="20.88671875" bestFit="1" customWidth="1"/>
    <col min="18" max="18" width="21.21875" customWidth="1"/>
    <col min="19" max="29" width="8.6640625" customWidth="1"/>
  </cols>
  <sheetData>
    <row r="1" spans="1:18" ht="14.25" customHeight="1" x14ac:dyDescent="0.3">
      <c r="A1" s="1" t="s">
        <v>0</v>
      </c>
      <c r="B1" s="2" t="s">
        <v>1</v>
      </c>
      <c r="C1" s="9" t="s">
        <v>2</v>
      </c>
      <c r="D1" s="2" t="s">
        <v>3</v>
      </c>
      <c r="E1" s="2" t="s">
        <v>4</v>
      </c>
      <c r="F1" s="17" t="s">
        <v>5</v>
      </c>
      <c r="G1" s="17" t="s">
        <v>6</v>
      </c>
      <c r="H1" s="18" t="s">
        <v>7</v>
      </c>
      <c r="I1" s="18" t="s">
        <v>8</v>
      </c>
      <c r="J1" s="17" t="s">
        <v>9</v>
      </c>
      <c r="K1" s="17" t="s">
        <v>10</v>
      </c>
      <c r="L1" s="69" t="s">
        <v>383</v>
      </c>
      <c r="M1" s="1" t="s">
        <v>11</v>
      </c>
      <c r="N1" s="31" t="s">
        <v>394</v>
      </c>
      <c r="O1" s="31" t="s">
        <v>395</v>
      </c>
      <c r="P1" s="31" t="s">
        <v>396</v>
      </c>
      <c r="Q1" s="2" t="s">
        <v>12</v>
      </c>
      <c r="R1" s="2" t="s">
        <v>373</v>
      </c>
    </row>
    <row r="2" spans="1:18" ht="14.25" customHeight="1" x14ac:dyDescent="0.3">
      <c r="A2" s="3" t="s">
        <v>13</v>
      </c>
      <c r="B2" s="3" t="s">
        <v>14</v>
      </c>
      <c r="C2" s="10">
        <v>45649</v>
      </c>
      <c r="D2" s="3" t="s">
        <v>15</v>
      </c>
      <c r="E2" s="3" t="s">
        <v>16</v>
      </c>
      <c r="F2" s="19">
        <v>1461</v>
      </c>
      <c r="G2" s="19">
        <v>184</v>
      </c>
      <c r="H2" s="19">
        <v>344</v>
      </c>
      <c r="I2" s="19">
        <v>21915</v>
      </c>
      <c r="J2" s="19">
        <v>21675</v>
      </c>
      <c r="K2" s="19">
        <v>15</v>
      </c>
      <c r="L2" s="19">
        <f>SUM($F2:$H2)</f>
        <v>1989</v>
      </c>
      <c r="M2" s="4" t="s">
        <v>17</v>
      </c>
      <c r="N2" s="3" t="s">
        <v>51</v>
      </c>
      <c r="O2" s="3" t="s">
        <v>392</v>
      </c>
      <c r="P2" s="10"/>
      <c r="Q2" s="3" t="s">
        <v>18</v>
      </c>
      <c r="R2" s="67">
        <f>SUM(F2:H2)/I2</f>
        <v>9.0759753593429152E-2</v>
      </c>
    </row>
    <row r="3" spans="1:18" ht="14.25" customHeight="1" x14ac:dyDescent="0.3">
      <c r="A3" s="3" t="s">
        <v>19</v>
      </c>
      <c r="B3" s="3" t="s">
        <v>14</v>
      </c>
      <c r="C3" s="10">
        <v>45750</v>
      </c>
      <c r="D3" s="3" t="s">
        <v>20</v>
      </c>
      <c r="E3" s="3" t="s">
        <v>21</v>
      </c>
      <c r="F3" s="19">
        <v>4054</v>
      </c>
      <c r="G3" s="19">
        <v>389</v>
      </c>
      <c r="H3" s="19">
        <v>493</v>
      </c>
      <c r="I3" s="19">
        <v>64864</v>
      </c>
      <c r="J3" s="19">
        <v>64383</v>
      </c>
      <c r="K3" s="19">
        <v>117</v>
      </c>
      <c r="L3" s="19">
        <f t="shared" ref="L3:L66" si="0">SUM($F3:$H3)</f>
        <v>4936</v>
      </c>
      <c r="M3" s="4" t="s">
        <v>22</v>
      </c>
      <c r="N3" s="3" t="s">
        <v>27</v>
      </c>
      <c r="O3" s="3" t="s">
        <v>393</v>
      </c>
      <c r="P3" s="10"/>
      <c r="Q3" s="3" t="s">
        <v>23</v>
      </c>
      <c r="R3" s="67">
        <f t="shared" ref="R3:R66" si="1">SUM(F3:H3)/I3</f>
        <v>7.6097681302417369E-2</v>
      </c>
    </row>
    <row r="4" spans="1:18" ht="14.25" customHeight="1" x14ac:dyDescent="0.3">
      <c r="A4" s="3" t="s">
        <v>24</v>
      </c>
      <c r="B4" s="3" t="s">
        <v>25</v>
      </c>
      <c r="C4" s="10">
        <v>45789</v>
      </c>
      <c r="D4" s="3" t="s">
        <v>15</v>
      </c>
      <c r="E4" s="3" t="s">
        <v>26</v>
      </c>
      <c r="F4" s="19">
        <v>2795</v>
      </c>
      <c r="G4" s="19">
        <v>105</v>
      </c>
      <c r="H4" s="19">
        <v>49</v>
      </c>
      <c r="I4" s="19">
        <v>53105</v>
      </c>
      <c r="J4" s="19">
        <v>52307</v>
      </c>
      <c r="K4" s="19">
        <v>204</v>
      </c>
      <c r="L4" s="19">
        <f t="shared" si="0"/>
        <v>2949</v>
      </c>
      <c r="M4" s="4" t="s">
        <v>27</v>
      </c>
      <c r="N4" s="3" t="s">
        <v>27</v>
      </c>
      <c r="O4" s="3"/>
      <c r="P4" s="10"/>
      <c r="Q4" s="3" t="s">
        <v>28</v>
      </c>
      <c r="R4" s="67">
        <f t="shared" si="1"/>
        <v>5.5531494209584788E-2</v>
      </c>
    </row>
    <row r="5" spans="1:18" ht="14.25" customHeight="1" x14ac:dyDescent="0.3">
      <c r="A5" s="3" t="s">
        <v>29</v>
      </c>
      <c r="B5" s="3" t="s">
        <v>30</v>
      </c>
      <c r="C5" s="10">
        <v>45516</v>
      </c>
      <c r="D5" s="3" t="s">
        <v>31</v>
      </c>
      <c r="E5" s="3" t="s">
        <v>32</v>
      </c>
      <c r="F5" s="19">
        <v>2404</v>
      </c>
      <c r="G5" s="19">
        <v>363</v>
      </c>
      <c r="H5" s="19">
        <v>138</v>
      </c>
      <c r="I5" s="19">
        <v>19232</v>
      </c>
      <c r="J5" s="19">
        <v>18636</v>
      </c>
      <c r="K5" s="19">
        <v>128</v>
      </c>
      <c r="L5" s="19">
        <f t="shared" si="0"/>
        <v>2905</v>
      </c>
      <c r="M5" s="4" t="s">
        <v>33</v>
      </c>
      <c r="N5" s="3" t="s">
        <v>33</v>
      </c>
      <c r="O5" s="3"/>
      <c r="P5" s="10"/>
      <c r="Q5" s="3" t="s">
        <v>34</v>
      </c>
      <c r="R5" s="67">
        <f t="shared" si="1"/>
        <v>0.15105033277870217</v>
      </c>
    </row>
    <row r="6" spans="1:18" ht="14.25" customHeight="1" x14ac:dyDescent="0.3">
      <c r="A6" s="3" t="s">
        <v>35</v>
      </c>
      <c r="B6" s="3" t="s">
        <v>25</v>
      </c>
      <c r="C6" s="10">
        <v>45469</v>
      </c>
      <c r="D6" s="3" t="s">
        <v>15</v>
      </c>
      <c r="E6" s="3" t="s">
        <v>26</v>
      </c>
      <c r="F6" s="19">
        <v>3557</v>
      </c>
      <c r="G6" s="19">
        <v>687</v>
      </c>
      <c r="H6" s="19">
        <v>424</v>
      </c>
      <c r="I6" s="19">
        <v>71140</v>
      </c>
      <c r="J6" s="19">
        <v>70701</v>
      </c>
      <c r="K6" s="19">
        <v>224</v>
      </c>
      <c r="L6" s="19">
        <f t="shared" si="0"/>
        <v>4668</v>
      </c>
      <c r="M6" s="4" t="s">
        <v>36</v>
      </c>
      <c r="N6" s="3" t="s">
        <v>33</v>
      </c>
      <c r="O6" s="3" t="s">
        <v>27</v>
      </c>
      <c r="P6" s="10"/>
      <c r="Q6" s="3" t="s">
        <v>18</v>
      </c>
      <c r="R6" s="67">
        <f t="shared" si="1"/>
        <v>6.5617093055946027E-2</v>
      </c>
    </row>
    <row r="7" spans="1:18" ht="14.25" customHeight="1" x14ac:dyDescent="0.3">
      <c r="A7" s="3" t="s">
        <v>37</v>
      </c>
      <c r="B7" s="3" t="s">
        <v>38</v>
      </c>
      <c r="C7" s="10">
        <v>45596</v>
      </c>
      <c r="D7" s="3" t="s">
        <v>39</v>
      </c>
      <c r="E7" s="3" t="s">
        <v>40</v>
      </c>
      <c r="F7" s="19">
        <v>2945</v>
      </c>
      <c r="G7" s="19">
        <v>930</v>
      </c>
      <c r="H7" s="19">
        <v>355</v>
      </c>
      <c r="I7" s="19">
        <v>23560</v>
      </c>
      <c r="J7" s="19">
        <v>23275</v>
      </c>
      <c r="K7" s="19">
        <v>256</v>
      </c>
      <c r="L7" s="19">
        <f t="shared" si="0"/>
        <v>4230</v>
      </c>
      <c r="M7" s="4" t="s">
        <v>27</v>
      </c>
      <c r="N7" s="3" t="s">
        <v>27</v>
      </c>
      <c r="O7" s="3"/>
      <c r="P7" s="10"/>
      <c r="Q7" s="3" t="s">
        <v>23</v>
      </c>
      <c r="R7" s="67">
        <f t="shared" si="1"/>
        <v>0.17954159592529711</v>
      </c>
    </row>
    <row r="8" spans="1:18" ht="14.25" customHeight="1" x14ac:dyDescent="0.3">
      <c r="A8" s="3" t="s">
        <v>41</v>
      </c>
      <c r="B8" s="3" t="s">
        <v>14</v>
      </c>
      <c r="C8" s="10">
        <v>45467</v>
      </c>
      <c r="D8" s="3" t="s">
        <v>39</v>
      </c>
      <c r="E8" s="3" t="s">
        <v>42</v>
      </c>
      <c r="F8" s="19">
        <v>3860</v>
      </c>
      <c r="G8" s="19">
        <v>201</v>
      </c>
      <c r="H8" s="19">
        <v>279</v>
      </c>
      <c r="I8" s="19">
        <v>61760</v>
      </c>
      <c r="J8" s="19">
        <v>61660</v>
      </c>
      <c r="K8" s="19">
        <v>235</v>
      </c>
      <c r="L8" s="19">
        <f t="shared" si="0"/>
        <v>4340</v>
      </c>
      <c r="M8" s="4" t="s">
        <v>27</v>
      </c>
      <c r="N8" s="3" t="s">
        <v>27</v>
      </c>
      <c r="O8" s="3"/>
      <c r="P8" s="10"/>
      <c r="Q8" s="3" t="s">
        <v>23</v>
      </c>
      <c r="R8" s="67">
        <f t="shared" si="1"/>
        <v>7.0272020725388601E-2</v>
      </c>
    </row>
    <row r="9" spans="1:18" ht="14.25" customHeight="1" x14ac:dyDescent="0.3">
      <c r="A9" s="3" t="s">
        <v>43</v>
      </c>
      <c r="B9" s="3" t="s">
        <v>25</v>
      </c>
      <c r="C9" s="10">
        <v>45486</v>
      </c>
      <c r="D9" s="3" t="s">
        <v>44</v>
      </c>
      <c r="E9" s="3" t="s">
        <v>45</v>
      </c>
      <c r="F9" s="19">
        <v>3929</v>
      </c>
      <c r="G9" s="19">
        <v>262</v>
      </c>
      <c r="H9" s="19">
        <v>278</v>
      </c>
      <c r="I9" s="19">
        <v>43219</v>
      </c>
      <c r="J9" s="19">
        <v>42841</v>
      </c>
      <c r="K9" s="19">
        <v>39</v>
      </c>
      <c r="L9" s="19">
        <f t="shared" si="0"/>
        <v>4469</v>
      </c>
      <c r="M9" s="4" t="s">
        <v>33</v>
      </c>
      <c r="N9" s="3" t="s">
        <v>33</v>
      </c>
      <c r="O9" s="3"/>
      <c r="P9" s="10"/>
      <c r="Q9" s="3" t="s">
        <v>34</v>
      </c>
      <c r="R9" s="67">
        <f t="shared" si="1"/>
        <v>0.10340359564080613</v>
      </c>
    </row>
    <row r="10" spans="1:18" ht="14.25" customHeight="1" x14ac:dyDescent="0.3">
      <c r="A10" s="3" t="s">
        <v>46</v>
      </c>
      <c r="B10" s="3" t="s">
        <v>38</v>
      </c>
      <c r="C10" s="10">
        <v>45534</v>
      </c>
      <c r="D10" s="3" t="s">
        <v>20</v>
      </c>
      <c r="E10" s="3" t="s">
        <v>47</v>
      </c>
      <c r="F10" s="19">
        <v>3784</v>
      </c>
      <c r="G10" s="19">
        <v>808</v>
      </c>
      <c r="H10" s="19">
        <v>404</v>
      </c>
      <c r="I10" s="19">
        <v>56760</v>
      </c>
      <c r="J10" s="19">
        <v>56343</v>
      </c>
      <c r="K10" s="19">
        <v>131</v>
      </c>
      <c r="L10" s="19">
        <f t="shared" si="0"/>
        <v>4996</v>
      </c>
      <c r="M10" s="4" t="s">
        <v>27</v>
      </c>
      <c r="N10" s="3" t="s">
        <v>27</v>
      </c>
      <c r="O10" s="3"/>
      <c r="P10" s="10"/>
      <c r="Q10" s="3" t="s">
        <v>23</v>
      </c>
      <c r="R10" s="67">
        <f t="shared" si="1"/>
        <v>8.8019732205778717E-2</v>
      </c>
    </row>
    <row r="11" spans="1:18" ht="14.25" customHeight="1" x14ac:dyDescent="0.3">
      <c r="A11" s="3" t="s">
        <v>48</v>
      </c>
      <c r="B11" s="3" t="s">
        <v>38</v>
      </c>
      <c r="C11" s="10">
        <v>45727</v>
      </c>
      <c r="D11" s="3" t="s">
        <v>44</v>
      </c>
      <c r="E11" s="3" t="s">
        <v>49</v>
      </c>
      <c r="F11" s="19">
        <v>4241</v>
      </c>
      <c r="G11" s="19">
        <v>902</v>
      </c>
      <c r="H11" s="19">
        <v>47</v>
      </c>
      <c r="I11" s="19">
        <v>72097</v>
      </c>
      <c r="J11" s="19">
        <v>71598</v>
      </c>
      <c r="K11" s="19">
        <v>167</v>
      </c>
      <c r="L11" s="19">
        <f t="shared" si="0"/>
        <v>5190</v>
      </c>
      <c r="M11" s="4" t="s">
        <v>27</v>
      </c>
      <c r="N11" s="3" t="s">
        <v>27</v>
      </c>
      <c r="O11" s="3"/>
      <c r="P11" s="10"/>
      <c r="Q11" s="3" t="s">
        <v>23</v>
      </c>
      <c r="R11" s="67">
        <f t="shared" si="1"/>
        <v>7.198635172059864E-2</v>
      </c>
    </row>
    <row r="12" spans="1:18" ht="14.25" customHeight="1" x14ac:dyDescent="0.3">
      <c r="A12" s="3" t="s">
        <v>50</v>
      </c>
      <c r="B12" s="3" t="s">
        <v>30</v>
      </c>
      <c r="C12" s="10">
        <v>45690</v>
      </c>
      <c r="D12" s="3" t="s">
        <v>31</v>
      </c>
      <c r="E12" s="3" t="s">
        <v>32</v>
      </c>
      <c r="F12" s="19">
        <v>1792</v>
      </c>
      <c r="G12" s="19">
        <v>614</v>
      </c>
      <c r="H12" s="19">
        <v>497</v>
      </c>
      <c r="I12" s="19">
        <v>25088</v>
      </c>
      <c r="J12" s="19">
        <v>24675</v>
      </c>
      <c r="K12" s="19">
        <v>65</v>
      </c>
      <c r="L12" s="19">
        <f t="shared" si="0"/>
        <v>2903</v>
      </c>
      <c r="M12" s="4" t="s">
        <v>51</v>
      </c>
      <c r="N12" s="3" t="s">
        <v>51</v>
      </c>
      <c r="O12" s="3"/>
      <c r="P12" s="10"/>
      <c r="Q12" s="3" t="s">
        <v>34</v>
      </c>
      <c r="R12" s="67">
        <f t="shared" si="1"/>
        <v>0.11571269132653061</v>
      </c>
    </row>
    <row r="13" spans="1:18" ht="14.25" customHeight="1" x14ac:dyDescent="0.3">
      <c r="A13" s="3" t="s">
        <v>52</v>
      </c>
      <c r="B13" s="3" t="s">
        <v>38</v>
      </c>
      <c r="C13" s="10">
        <v>45494</v>
      </c>
      <c r="D13" s="3" t="s">
        <v>15</v>
      </c>
      <c r="E13" s="3" t="s">
        <v>53</v>
      </c>
      <c r="F13" s="19">
        <v>1946</v>
      </c>
      <c r="G13" s="19">
        <v>686</v>
      </c>
      <c r="H13" s="19">
        <v>377</v>
      </c>
      <c r="I13" s="19">
        <v>23352</v>
      </c>
      <c r="J13" s="19">
        <v>22982</v>
      </c>
      <c r="K13" s="19">
        <v>213</v>
      </c>
      <c r="L13" s="19">
        <f t="shared" si="0"/>
        <v>3009</v>
      </c>
      <c r="M13" s="4" t="s">
        <v>51</v>
      </c>
      <c r="N13" s="3" t="s">
        <v>51</v>
      </c>
      <c r="O13" s="3"/>
      <c r="P13" s="10"/>
      <c r="Q13" s="3" t="s">
        <v>28</v>
      </c>
      <c r="R13" s="67">
        <f t="shared" si="1"/>
        <v>0.12885405960945528</v>
      </c>
    </row>
    <row r="14" spans="1:18" ht="14.25" customHeight="1" x14ac:dyDescent="0.3">
      <c r="A14" s="3" t="s">
        <v>54</v>
      </c>
      <c r="B14" s="3" t="s">
        <v>25</v>
      </c>
      <c r="C14" s="10">
        <v>45614</v>
      </c>
      <c r="D14" s="3" t="s">
        <v>39</v>
      </c>
      <c r="E14" s="3" t="s">
        <v>55</v>
      </c>
      <c r="F14" s="19">
        <v>1171</v>
      </c>
      <c r="G14" s="19">
        <v>286</v>
      </c>
      <c r="H14" s="19">
        <v>231</v>
      </c>
      <c r="I14" s="19">
        <v>22249</v>
      </c>
      <c r="J14" s="19">
        <v>21282</v>
      </c>
      <c r="K14" s="19">
        <v>114</v>
      </c>
      <c r="L14" s="19">
        <f t="shared" si="0"/>
        <v>1688</v>
      </c>
      <c r="M14" s="4" t="s">
        <v>33</v>
      </c>
      <c r="N14" s="3" t="s">
        <v>33</v>
      </c>
      <c r="O14" s="3"/>
      <c r="P14" s="10"/>
      <c r="Q14" s="3" t="s">
        <v>18</v>
      </c>
      <c r="R14" s="67">
        <f t="shared" si="1"/>
        <v>7.5868578363072495E-2</v>
      </c>
    </row>
    <row r="15" spans="1:18" ht="14.25" customHeight="1" x14ac:dyDescent="0.3">
      <c r="A15" s="3" t="s">
        <v>56</v>
      </c>
      <c r="B15" s="3" t="s">
        <v>38</v>
      </c>
      <c r="C15" s="10">
        <v>45704</v>
      </c>
      <c r="D15" s="3" t="s">
        <v>31</v>
      </c>
      <c r="E15" s="3" t="s">
        <v>57</v>
      </c>
      <c r="F15" s="19">
        <v>4242</v>
      </c>
      <c r="G15" s="19">
        <v>555</v>
      </c>
      <c r="H15" s="19">
        <v>131</v>
      </c>
      <c r="I15" s="19">
        <v>33936</v>
      </c>
      <c r="J15" s="19">
        <v>33802</v>
      </c>
      <c r="K15" s="19">
        <v>265</v>
      </c>
      <c r="L15" s="19">
        <f t="shared" si="0"/>
        <v>4928</v>
      </c>
      <c r="M15" s="4" t="s">
        <v>51</v>
      </c>
      <c r="N15" s="3" t="s">
        <v>51</v>
      </c>
      <c r="O15" s="3"/>
      <c r="P15" s="10"/>
      <c r="Q15" s="3" t="s">
        <v>397</v>
      </c>
      <c r="R15" s="67">
        <f t="shared" si="1"/>
        <v>0.14521452145214522</v>
      </c>
    </row>
    <row r="16" spans="1:18" ht="14.25" customHeight="1" x14ac:dyDescent="0.3">
      <c r="A16" s="3" t="s">
        <v>58</v>
      </c>
      <c r="B16" s="3" t="s">
        <v>38</v>
      </c>
      <c r="C16" s="10">
        <v>45589</v>
      </c>
      <c r="D16" s="3" t="s">
        <v>59</v>
      </c>
      <c r="E16" s="3" t="s">
        <v>60</v>
      </c>
      <c r="F16" s="19">
        <v>3888</v>
      </c>
      <c r="G16" s="19">
        <v>604</v>
      </c>
      <c r="H16" s="19">
        <v>128</v>
      </c>
      <c r="I16" s="19">
        <v>77760</v>
      </c>
      <c r="J16" s="19">
        <v>77167</v>
      </c>
      <c r="K16" s="19">
        <v>20</v>
      </c>
      <c r="L16" s="19">
        <f t="shared" si="0"/>
        <v>4620</v>
      </c>
      <c r="M16" s="4" t="s">
        <v>51</v>
      </c>
      <c r="N16" s="3" t="s">
        <v>51</v>
      </c>
      <c r="O16" s="3"/>
      <c r="P16" s="10"/>
      <c r="Q16" s="3" t="s">
        <v>18</v>
      </c>
      <c r="R16" s="67">
        <f t="shared" si="1"/>
        <v>5.941358024691358E-2</v>
      </c>
    </row>
    <row r="17" spans="1:18" ht="14.25" customHeight="1" x14ac:dyDescent="0.3">
      <c r="A17" s="3" t="s">
        <v>61</v>
      </c>
      <c r="B17" s="3" t="s">
        <v>38</v>
      </c>
      <c r="C17" s="10">
        <v>45530</v>
      </c>
      <c r="D17" s="3" t="s">
        <v>20</v>
      </c>
      <c r="E17" s="3" t="s">
        <v>47</v>
      </c>
      <c r="F17" s="19">
        <v>3452</v>
      </c>
      <c r="G17" s="19">
        <v>377</v>
      </c>
      <c r="H17" s="19">
        <v>360</v>
      </c>
      <c r="I17" s="19">
        <v>55232</v>
      </c>
      <c r="J17" s="19">
        <v>55075</v>
      </c>
      <c r="K17" s="19">
        <v>87</v>
      </c>
      <c r="L17" s="19">
        <f t="shared" si="0"/>
        <v>4189</v>
      </c>
      <c r="M17" s="4" t="s">
        <v>51</v>
      </c>
      <c r="N17" s="3" t="s">
        <v>51</v>
      </c>
      <c r="O17" s="3"/>
      <c r="P17" s="10"/>
      <c r="Q17" s="3" t="s">
        <v>28</v>
      </c>
      <c r="R17" s="67">
        <f t="shared" si="1"/>
        <v>7.5843713789107758E-2</v>
      </c>
    </row>
    <row r="18" spans="1:18" ht="14.25" customHeight="1" x14ac:dyDescent="0.3">
      <c r="A18" s="3" t="s">
        <v>62</v>
      </c>
      <c r="B18" s="3" t="s">
        <v>38</v>
      </c>
      <c r="C18" s="10">
        <v>45782</v>
      </c>
      <c r="D18" s="3" t="s">
        <v>20</v>
      </c>
      <c r="E18" s="3" t="s">
        <v>47</v>
      </c>
      <c r="F18" s="19">
        <v>4441</v>
      </c>
      <c r="G18" s="19">
        <v>511</v>
      </c>
      <c r="H18" s="19">
        <v>70</v>
      </c>
      <c r="I18" s="19">
        <v>53292</v>
      </c>
      <c r="J18" s="19">
        <v>53082</v>
      </c>
      <c r="K18" s="19">
        <v>159</v>
      </c>
      <c r="L18" s="19">
        <f t="shared" si="0"/>
        <v>5022</v>
      </c>
      <c r="M18" s="4" t="s">
        <v>33</v>
      </c>
      <c r="N18" s="3" t="s">
        <v>33</v>
      </c>
      <c r="O18" s="3"/>
      <c r="P18" s="10"/>
      <c r="Q18" s="3" t="s">
        <v>34</v>
      </c>
      <c r="R18" s="67">
        <f t="shared" si="1"/>
        <v>9.4235532537716729E-2</v>
      </c>
    </row>
    <row r="19" spans="1:18" ht="14.25" customHeight="1" x14ac:dyDescent="0.3">
      <c r="A19" s="3" t="s">
        <v>63</v>
      </c>
      <c r="B19" s="3" t="s">
        <v>30</v>
      </c>
      <c r="C19" s="10">
        <v>45523</v>
      </c>
      <c r="D19" s="3" t="s">
        <v>15</v>
      </c>
      <c r="E19" s="3" t="s">
        <v>64</v>
      </c>
      <c r="F19" s="19">
        <v>3000</v>
      </c>
      <c r="G19" s="19">
        <v>382</v>
      </c>
      <c r="H19" s="19">
        <v>325</v>
      </c>
      <c r="I19" s="19">
        <v>36000</v>
      </c>
      <c r="J19" s="19">
        <v>35819</v>
      </c>
      <c r="K19" s="19">
        <v>19</v>
      </c>
      <c r="L19" s="19">
        <f t="shared" si="0"/>
        <v>3707</v>
      </c>
      <c r="M19" s="4" t="s">
        <v>51</v>
      </c>
      <c r="N19" s="3" t="s">
        <v>51</v>
      </c>
      <c r="O19" s="3"/>
      <c r="P19" s="10"/>
      <c r="Q19" s="3" t="s">
        <v>18</v>
      </c>
      <c r="R19" s="67">
        <f t="shared" si="1"/>
        <v>0.10297222222222223</v>
      </c>
    </row>
    <row r="20" spans="1:18" ht="14.25" customHeight="1" x14ac:dyDescent="0.3">
      <c r="A20" s="3" t="s">
        <v>65</v>
      </c>
      <c r="B20" s="3" t="s">
        <v>30</v>
      </c>
      <c r="C20" s="10">
        <v>45466</v>
      </c>
      <c r="D20" s="3" t="s">
        <v>59</v>
      </c>
      <c r="E20" s="3" t="s">
        <v>66</v>
      </c>
      <c r="F20" s="19">
        <v>1071</v>
      </c>
      <c r="G20" s="19">
        <v>519</v>
      </c>
      <c r="H20" s="19">
        <v>22</v>
      </c>
      <c r="I20" s="19">
        <v>16065</v>
      </c>
      <c r="J20" s="19">
        <v>15865</v>
      </c>
      <c r="K20" s="19">
        <v>103</v>
      </c>
      <c r="L20" s="19">
        <f t="shared" si="0"/>
        <v>1612</v>
      </c>
      <c r="M20" s="4" t="s">
        <v>27</v>
      </c>
      <c r="N20" s="3" t="s">
        <v>27</v>
      </c>
      <c r="O20" s="3"/>
      <c r="P20" s="10"/>
      <c r="Q20" s="3" t="s">
        <v>34</v>
      </c>
      <c r="R20" s="67">
        <f t="shared" si="1"/>
        <v>0.10034235916588857</v>
      </c>
    </row>
    <row r="21" spans="1:18" ht="14.25" customHeight="1" x14ac:dyDescent="0.3">
      <c r="A21" s="3" t="s">
        <v>67</v>
      </c>
      <c r="B21" s="3" t="s">
        <v>30</v>
      </c>
      <c r="C21" s="10">
        <v>45544</v>
      </c>
      <c r="D21" s="3" t="s">
        <v>39</v>
      </c>
      <c r="E21" s="3" t="s">
        <v>68</v>
      </c>
      <c r="F21" s="19">
        <v>4054</v>
      </c>
      <c r="G21" s="19">
        <v>488</v>
      </c>
      <c r="H21" s="19">
        <v>373</v>
      </c>
      <c r="I21" s="19">
        <v>77026</v>
      </c>
      <c r="J21" s="19">
        <v>76881</v>
      </c>
      <c r="K21" s="19">
        <v>25</v>
      </c>
      <c r="L21" s="19">
        <f t="shared" si="0"/>
        <v>4915</v>
      </c>
      <c r="M21" s="4" t="s">
        <v>27</v>
      </c>
      <c r="N21" s="3" t="s">
        <v>27</v>
      </c>
      <c r="O21" s="3"/>
      <c r="P21" s="10"/>
      <c r="Q21" s="3" t="s">
        <v>18</v>
      </c>
      <c r="R21" s="67">
        <f t="shared" si="1"/>
        <v>6.3809622724794221E-2</v>
      </c>
    </row>
    <row r="22" spans="1:18" ht="14.25" customHeight="1" x14ac:dyDescent="0.3">
      <c r="A22" s="3" t="s">
        <v>69</v>
      </c>
      <c r="B22" s="3" t="s">
        <v>30</v>
      </c>
      <c r="C22" s="10">
        <v>45661</v>
      </c>
      <c r="D22" s="3" t="s">
        <v>15</v>
      </c>
      <c r="E22" s="3" t="s">
        <v>64</v>
      </c>
      <c r="F22" s="19">
        <v>4838</v>
      </c>
      <c r="G22" s="19">
        <v>640</v>
      </c>
      <c r="H22" s="19">
        <v>128</v>
      </c>
      <c r="I22" s="19">
        <v>72570</v>
      </c>
      <c r="J22" s="19">
        <v>72396</v>
      </c>
      <c r="K22" s="19">
        <v>83</v>
      </c>
      <c r="L22" s="19">
        <f t="shared" si="0"/>
        <v>5606</v>
      </c>
      <c r="M22" s="4" t="s">
        <v>51</v>
      </c>
      <c r="N22" s="3" t="s">
        <v>51</v>
      </c>
      <c r="O22" s="3"/>
      <c r="P22" s="10"/>
      <c r="Q22" s="3" t="s">
        <v>34</v>
      </c>
      <c r="R22" s="67">
        <f t="shared" si="1"/>
        <v>7.7249552156538517E-2</v>
      </c>
    </row>
    <row r="23" spans="1:18" ht="14.25" customHeight="1" x14ac:dyDescent="0.3">
      <c r="A23" s="3" t="s">
        <v>70</v>
      </c>
      <c r="B23" s="3" t="s">
        <v>38</v>
      </c>
      <c r="C23" s="10">
        <v>45715</v>
      </c>
      <c r="D23" s="3" t="s">
        <v>20</v>
      </c>
      <c r="E23" s="3" t="s">
        <v>47</v>
      </c>
      <c r="F23" s="19">
        <v>1570</v>
      </c>
      <c r="G23" s="19">
        <v>187</v>
      </c>
      <c r="H23" s="19">
        <v>260</v>
      </c>
      <c r="I23" s="19">
        <v>25120</v>
      </c>
      <c r="J23" s="19">
        <v>24613</v>
      </c>
      <c r="K23" s="19">
        <v>133</v>
      </c>
      <c r="L23" s="19">
        <f t="shared" si="0"/>
        <v>2017</v>
      </c>
      <c r="M23" s="4" t="s">
        <v>27</v>
      </c>
      <c r="N23" s="3" t="s">
        <v>27</v>
      </c>
      <c r="O23" s="3"/>
      <c r="P23" s="10"/>
      <c r="Q23" s="3" t="s">
        <v>34</v>
      </c>
      <c r="R23" s="67">
        <f t="shared" si="1"/>
        <v>8.0294585987261149E-2</v>
      </c>
    </row>
    <row r="24" spans="1:18" ht="14.25" customHeight="1" x14ac:dyDescent="0.3">
      <c r="A24" s="3" t="s">
        <v>71</v>
      </c>
      <c r="B24" s="3" t="s">
        <v>38</v>
      </c>
      <c r="C24" s="10">
        <v>45602</v>
      </c>
      <c r="D24" s="3" t="s">
        <v>59</v>
      </c>
      <c r="E24" s="3" t="s">
        <v>60</v>
      </c>
      <c r="F24" s="19">
        <v>1606</v>
      </c>
      <c r="G24" s="19">
        <v>547</v>
      </c>
      <c r="H24" s="19">
        <v>316</v>
      </c>
      <c r="I24" s="19">
        <v>32120</v>
      </c>
      <c r="J24" s="19">
        <v>31736</v>
      </c>
      <c r="K24" s="19">
        <v>225</v>
      </c>
      <c r="L24" s="19">
        <f t="shared" si="0"/>
        <v>2469</v>
      </c>
      <c r="M24" s="4" t="s">
        <v>72</v>
      </c>
      <c r="N24" s="3" t="s">
        <v>27</v>
      </c>
      <c r="O24" s="3" t="s">
        <v>392</v>
      </c>
      <c r="P24" s="10"/>
      <c r="Q24" s="3" t="s">
        <v>23</v>
      </c>
      <c r="R24" s="67">
        <f t="shared" si="1"/>
        <v>7.6867995018679955E-2</v>
      </c>
    </row>
    <row r="25" spans="1:18" ht="14.25" customHeight="1" x14ac:dyDescent="0.3">
      <c r="A25" s="3" t="s">
        <v>73</v>
      </c>
      <c r="B25" s="3" t="s">
        <v>38</v>
      </c>
      <c r="C25" s="10">
        <v>45680</v>
      </c>
      <c r="D25" s="3" t="s">
        <v>59</v>
      </c>
      <c r="E25" s="3" t="s">
        <v>60</v>
      </c>
      <c r="F25" s="19">
        <v>3961</v>
      </c>
      <c r="G25" s="19">
        <v>761</v>
      </c>
      <c r="H25" s="19">
        <v>131</v>
      </c>
      <c r="I25" s="19">
        <v>67337</v>
      </c>
      <c r="J25" s="19">
        <v>66615</v>
      </c>
      <c r="K25" s="19">
        <v>161</v>
      </c>
      <c r="L25" s="19">
        <f t="shared" si="0"/>
        <v>4853</v>
      </c>
      <c r="M25" s="4" t="s">
        <v>51</v>
      </c>
      <c r="N25" s="3" t="s">
        <v>51</v>
      </c>
      <c r="O25" s="3"/>
      <c r="P25" s="10"/>
      <c r="Q25" s="3" t="s">
        <v>28</v>
      </c>
      <c r="R25" s="67">
        <f t="shared" si="1"/>
        <v>7.2070332803659209E-2</v>
      </c>
    </row>
    <row r="26" spans="1:18" ht="14.25" customHeight="1" x14ac:dyDescent="0.3">
      <c r="A26" s="3" t="s">
        <v>74</v>
      </c>
      <c r="B26" s="3" t="s">
        <v>14</v>
      </c>
      <c r="C26" s="10">
        <v>45757</v>
      </c>
      <c r="D26" s="3" t="s">
        <v>39</v>
      </c>
      <c r="E26" s="3" t="s">
        <v>42</v>
      </c>
      <c r="F26" s="19">
        <v>3128</v>
      </c>
      <c r="G26" s="19">
        <v>211</v>
      </c>
      <c r="H26" s="19">
        <v>197</v>
      </c>
      <c r="I26" s="19">
        <v>59432</v>
      </c>
      <c r="J26" s="19">
        <v>59182</v>
      </c>
      <c r="K26" s="19">
        <v>238</v>
      </c>
      <c r="L26" s="19">
        <f t="shared" si="0"/>
        <v>3536</v>
      </c>
      <c r="M26" s="4" t="s">
        <v>33</v>
      </c>
      <c r="N26" s="3" t="s">
        <v>33</v>
      </c>
      <c r="O26" s="3"/>
      <c r="P26" s="10"/>
      <c r="Q26" s="3" t="s">
        <v>397</v>
      </c>
      <c r="R26" s="67">
        <f t="shared" si="1"/>
        <v>5.9496567505720827E-2</v>
      </c>
    </row>
    <row r="27" spans="1:18" ht="14.25" customHeight="1" x14ac:dyDescent="0.3">
      <c r="A27" s="3" t="s">
        <v>75</v>
      </c>
      <c r="B27" s="3" t="s">
        <v>25</v>
      </c>
      <c r="C27" s="10">
        <v>45752</v>
      </c>
      <c r="D27" s="3" t="s">
        <v>15</v>
      </c>
      <c r="E27" s="3" t="s">
        <v>26</v>
      </c>
      <c r="F27" s="19">
        <v>3009</v>
      </c>
      <c r="G27" s="19">
        <v>413</v>
      </c>
      <c r="H27" s="19">
        <v>358</v>
      </c>
      <c r="I27" s="19">
        <v>42126</v>
      </c>
      <c r="J27" s="19">
        <v>41309</v>
      </c>
      <c r="K27" s="19">
        <v>211</v>
      </c>
      <c r="L27" s="19">
        <f t="shared" si="0"/>
        <v>3780</v>
      </c>
      <c r="M27" s="4" t="s">
        <v>51</v>
      </c>
      <c r="N27" s="3" t="s">
        <v>51</v>
      </c>
      <c r="O27" s="3"/>
      <c r="P27" s="10"/>
      <c r="Q27" s="3" t="s">
        <v>23</v>
      </c>
      <c r="R27" s="67">
        <f t="shared" si="1"/>
        <v>8.9730807577268201E-2</v>
      </c>
    </row>
    <row r="28" spans="1:18" ht="14.25" customHeight="1" x14ac:dyDescent="0.3">
      <c r="A28" s="3" t="s">
        <v>76</v>
      </c>
      <c r="B28" s="3" t="s">
        <v>25</v>
      </c>
      <c r="C28" s="10">
        <v>45552</v>
      </c>
      <c r="D28" s="3" t="s">
        <v>20</v>
      </c>
      <c r="E28" s="3" t="s">
        <v>77</v>
      </c>
      <c r="F28" s="19">
        <v>2076</v>
      </c>
      <c r="G28" s="19">
        <v>195</v>
      </c>
      <c r="H28" s="19">
        <v>104</v>
      </c>
      <c r="I28" s="19">
        <v>33216</v>
      </c>
      <c r="J28" s="19">
        <v>32244</v>
      </c>
      <c r="K28" s="19">
        <v>51</v>
      </c>
      <c r="L28" s="19">
        <f t="shared" si="0"/>
        <v>2375</v>
      </c>
      <c r="M28" s="4" t="s">
        <v>51</v>
      </c>
      <c r="N28" s="3" t="s">
        <v>51</v>
      </c>
      <c r="O28" s="3"/>
      <c r="P28" s="10"/>
      <c r="Q28" s="3" t="s">
        <v>34</v>
      </c>
      <c r="R28" s="67">
        <f t="shared" si="1"/>
        <v>7.1501685934489398E-2</v>
      </c>
    </row>
    <row r="29" spans="1:18" ht="14.25" customHeight="1" x14ac:dyDescent="0.3">
      <c r="A29" s="3" t="s">
        <v>78</v>
      </c>
      <c r="B29" s="3" t="s">
        <v>30</v>
      </c>
      <c r="C29" s="10">
        <v>45720</v>
      </c>
      <c r="D29" s="3" t="s">
        <v>59</v>
      </c>
      <c r="E29" s="3" t="s">
        <v>66</v>
      </c>
      <c r="F29" s="19">
        <v>432</v>
      </c>
      <c r="G29" s="19">
        <v>624</v>
      </c>
      <c r="H29" s="19">
        <v>123</v>
      </c>
      <c r="I29" s="19">
        <v>6912</v>
      </c>
      <c r="J29" s="19">
        <v>6259</v>
      </c>
      <c r="K29" s="19">
        <v>79</v>
      </c>
      <c r="L29" s="19">
        <f t="shared" si="0"/>
        <v>1179</v>
      </c>
      <c r="M29" s="4" t="s">
        <v>51</v>
      </c>
      <c r="N29" s="3" t="s">
        <v>51</v>
      </c>
      <c r="O29" s="3"/>
      <c r="P29" s="10"/>
      <c r="Q29" s="3" t="s">
        <v>34</v>
      </c>
      <c r="R29" s="67">
        <f t="shared" si="1"/>
        <v>0.17057291666666666</v>
      </c>
    </row>
    <row r="30" spans="1:18" ht="14.25" customHeight="1" x14ac:dyDescent="0.3">
      <c r="A30" s="3" t="s">
        <v>79</v>
      </c>
      <c r="B30" s="3" t="s">
        <v>30</v>
      </c>
      <c r="C30" s="10">
        <v>45688</v>
      </c>
      <c r="D30" s="3" t="s">
        <v>39</v>
      </c>
      <c r="E30" s="3" t="s">
        <v>68</v>
      </c>
      <c r="F30" s="19">
        <v>2566</v>
      </c>
      <c r="G30" s="19">
        <v>118</v>
      </c>
      <c r="H30" s="19">
        <v>37</v>
      </c>
      <c r="I30" s="19">
        <v>12830</v>
      </c>
      <c r="J30" s="19">
        <v>12264</v>
      </c>
      <c r="K30" s="19">
        <v>221</v>
      </c>
      <c r="L30" s="19">
        <f t="shared" si="0"/>
        <v>2721</v>
      </c>
      <c r="M30" s="4" t="s">
        <v>51</v>
      </c>
      <c r="N30" s="3" t="s">
        <v>51</v>
      </c>
      <c r="O30" s="3"/>
      <c r="P30" s="10"/>
      <c r="Q30" s="3" t="s">
        <v>28</v>
      </c>
      <c r="R30" s="67">
        <f t="shared" si="1"/>
        <v>0.21208106001558846</v>
      </c>
    </row>
    <row r="31" spans="1:18" ht="14.25" customHeight="1" x14ac:dyDescent="0.3">
      <c r="A31" s="3" t="s">
        <v>80</v>
      </c>
      <c r="B31" s="3" t="s">
        <v>30</v>
      </c>
      <c r="C31" s="10">
        <v>45713</v>
      </c>
      <c r="D31" s="3" t="s">
        <v>59</v>
      </c>
      <c r="E31" s="3" t="s">
        <v>66</v>
      </c>
      <c r="F31" s="19">
        <v>3095</v>
      </c>
      <c r="G31" s="19">
        <v>39</v>
      </c>
      <c r="H31" s="19">
        <v>78</v>
      </c>
      <c r="I31" s="19">
        <v>55710</v>
      </c>
      <c r="J31" s="19">
        <v>54808</v>
      </c>
      <c r="K31" s="19">
        <v>93</v>
      </c>
      <c r="L31" s="19">
        <f t="shared" si="0"/>
        <v>3212</v>
      </c>
      <c r="M31" s="4" t="s">
        <v>33</v>
      </c>
      <c r="N31" s="3" t="s">
        <v>33</v>
      </c>
      <c r="O31" s="3"/>
      <c r="P31" s="10"/>
      <c r="Q31" s="3" t="s">
        <v>397</v>
      </c>
      <c r="R31" s="67">
        <f t="shared" si="1"/>
        <v>5.7655717106444085E-2</v>
      </c>
    </row>
    <row r="32" spans="1:18" ht="14.25" customHeight="1" x14ac:dyDescent="0.3">
      <c r="A32" s="3" t="s">
        <v>81</v>
      </c>
      <c r="B32" s="3" t="s">
        <v>30</v>
      </c>
      <c r="C32" s="10">
        <v>45642</v>
      </c>
      <c r="D32" s="3" t="s">
        <v>20</v>
      </c>
      <c r="E32" s="3" t="s">
        <v>82</v>
      </c>
      <c r="F32" s="19">
        <v>438</v>
      </c>
      <c r="G32" s="19">
        <v>153</v>
      </c>
      <c r="H32" s="19">
        <v>275</v>
      </c>
      <c r="I32" s="19">
        <v>3066</v>
      </c>
      <c r="J32" s="19">
        <v>2701</v>
      </c>
      <c r="K32" s="19">
        <v>282</v>
      </c>
      <c r="L32" s="19">
        <f t="shared" si="0"/>
        <v>866</v>
      </c>
      <c r="M32" s="4" t="s">
        <v>27</v>
      </c>
      <c r="N32" s="3" t="s">
        <v>27</v>
      </c>
      <c r="O32" s="3"/>
      <c r="P32" s="10"/>
      <c r="Q32" s="3" t="s">
        <v>23</v>
      </c>
      <c r="R32" s="67">
        <f t="shared" si="1"/>
        <v>0.28245270711024134</v>
      </c>
    </row>
    <row r="33" spans="1:18" ht="14.25" customHeight="1" x14ac:dyDescent="0.3">
      <c r="A33" s="3" t="s">
        <v>83</v>
      </c>
      <c r="B33" s="3" t="s">
        <v>14</v>
      </c>
      <c r="C33" s="10">
        <v>45504</v>
      </c>
      <c r="D33" s="3" t="s">
        <v>39</v>
      </c>
      <c r="E33" s="3" t="s">
        <v>42</v>
      </c>
      <c r="F33" s="19">
        <v>2278</v>
      </c>
      <c r="G33" s="19">
        <v>10</v>
      </c>
      <c r="H33" s="19">
        <v>321</v>
      </c>
      <c r="I33" s="19">
        <v>13668</v>
      </c>
      <c r="J33" s="19">
        <v>12676</v>
      </c>
      <c r="K33" s="19">
        <v>275</v>
      </c>
      <c r="L33" s="19">
        <f t="shared" si="0"/>
        <v>2609</v>
      </c>
      <c r="M33" s="4" t="s">
        <v>33</v>
      </c>
      <c r="N33" s="3" t="s">
        <v>33</v>
      </c>
      <c r="O33" s="3"/>
      <c r="P33" s="10"/>
      <c r="Q33" s="3" t="s">
        <v>18</v>
      </c>
      <c r="R33" s="67">
        <f t="shared" si="1"/>
        <v>0.19088381621305239</v>
      </c>
    </row>
    <row r="34" spans="1:18" ht="14.25" customHeight="1" x14ac:dyDescent="0.3">
      <c r="A34" s="3" t="s">
        <v>84</v>
      </c>
      <c r="B34" s="3" t="s">
        <v>38</v>
      </c>
      <c r="C34" s="10">
        <v>45525</v>
      </c>
      <c r="D34" s="3" t="s">
        <v>44</v>
      </c>
      <c r="E34" s="3" t="s">
        <v>49</v>
      </c>
      <c r="F34" s="19">
        <v>1407</v>
      </c>
      <c r="G34" s="19">
        <v>400</v>
      </c>
      <c r="H34" s="19">
        <v>351</v>
      </c>
      <c r="I34" s="19">
        <v>16884</v>
      </c>
      <c r="J34" s="19">
        <v>15954</v>
      </c>
      <c r="K34" s="19">
        <v>113</v>
      </c>
      <c r="L34" s="19">
        <f t="shared" si="0"/>
        <v>2158</v>
      </c>
      <c r="M34" s="4" t="s">
        <v>27</v>
      </c>
      <c r="N34" s="3" t="s">
        <v>27</v>
      </c>
      <c r="O34" s="3"/>
      <c r="P34" s="10"/>
      <c r="Q34" s="3" t="s">
        <v>18</v>
      </c>
      <c r="R34" s="67">
        <f t="shared" si="1"/>
        <v>0.12781331438047855</v>
      </c>
    </row>
    <row r="35" spans="1:18" ht="14.25" customHeight="1" x14ac:dyDescent="0.3">
      <c r="A35" s="3" t="s">
        <v>85</v>
      </c>
      <c r="B35" s="3" t="s">
        <v>38</v>
      </c>
      <c r="C35" s="10">
        <v>45742</v>
      </c>
      <c r="D35" s="3" t="s">
        <v>20</v>
      </c>
      <c r="E35" s="3" t="s">
        <v>47</v>
      </c>
      <c r="F35" s="19">
        <v>1652</v>
      </c>
      <c r="G35" s="19">
        <v>89</v>
      </c>
      <c r="H35" s="19">
        <v>357</v>
      </c>
      <c r="I35" s="19">
        <v>29736</v>
      </c>
      <c r="J35" s="19">
        <v>28771</v>
      </c>
      <c r="K35" s="19">
        <v>215</v>
      </c>
      <c r="L35" s="19">
        <f t="shared" si="0"/>
        <v>2098</v>
      </c>
      <c r="M35" s="4" t="s">
        <v>27</v>
      </c>
      <c r="N35" s="3" t="s">
        <v>27</v>
      </c>
      <c r="O35" s="3"/>
      <c r="P35" s="10"/>
      <c r="Q35" s="3" t="s">
        <v>28</v>
      </c>
      <c r="R35" s="67">
        <f t="shared" si="1"/>
        <v>7.055421038471886E-2</v>
      </c>
    </row>
    <row r="36" spans="1:18" ht="14.25" customHeight="1" x14ac:dyDescent="0.3">
      <c r="A36" s="3" t="s">
        <v>86</v>
      </c>
      <c r="B36" s="3" t="s">
        <v>30</v>
      </c>
      <c r="C36" s="10">
        <v>45626</v>
      </c>
      <c r="D36" s="3" t="s">
        <v>59</v>
      </c>
      <c r="E36" s="3" t="s">
        <v>66</v>
      </c>
      <c r="F36" s="19">
        <v>3775</v>
      </c>
      <c r="G36" s="19">
        <v>16</v>
      </c>
      <c r="H36" s="19">
        <v>239</v>
      </c>
      <c r="I36" s="19">
        <v>33975</v>
      </c>
      <c r="J36" s="19">
        <v>33310</v>
      </c>
      <c r="K36" s="19">
        <v>271</v>
      </c>
      <c r="L36" s="19">
        <f t="shared" si="0"/>
        <v>4030</v>
      </c>
      <c r="M36" s="4" t="s">
        <v>51</v>
      </c>
      <c r="N36" s="3" t="s">
        <v>51</v>
      </c>
      <c r="O36" s="3"/>
      <c r="P36" s="10"/>
      <c r="Q36" s="3" t="s">
        <v>23</v>
      </c>
      <c r="R36" s="67">
        <f t="shared" si="1"/>
        <v>0.11861662987490802</v>
      </c>
    </row>
    <row r="37" spans="1:18" ht="14.25" customHeight="1" x14ac:dyDescent="0.3">
      <c r="A37" s="3" t="s">
        <v>87</v>
      </c>
      <c r="B37" s="3" t="s">
        <v>30</v>
      </c>
      <c r="C37" s="10">
        <v>45766</v>
      </c>
      <c r="D37" s="3" t="s">
        <v>31</v>
      </c>
      <c r="E37" s="3" t="s">
        <v>32</v>
      </c>
      <c r="F37" s="19">
        <v>4518</v>
      </c>
      <c r="G37" s="19">
        <v>285</v>
      </c>
      <c r="H37" s="19">
        <v>383</v>
      </c>
      <c r="I37" s="19">
        <v>67770</v>
      </c>
      <c r="J37" s="19">
        <v>67621</v>
      </c>
      <c r="K37" s="19">
        <v>31</v>
      </c>
      <c r="L37" s="19">
        <f t="shared" si="0"/>
        <v>5186</v>
      </c>
      <c r="M37" s="4" t="s">
        <v>33</v>
      </c>
      <c r="N37" s="3" t="s">
        <v>33</v>
      </c>
      <c r="O37" s="3"/>
      <c r="P37" s="10"/>
      <c r="Q37" s="3" t="s">
        <v>23</v>
      </c>
      <c r="R37" s="67">
        <f t="shared" si="1"/>
        <v>7.6523535487678915E-2</v>
      </c>
    </row>
    <row r="38" spans="1:18" ht="14.25" customHeight="1" x14ac:dyDescent="0.3">
      <c r="A38" s="3" t="s">
        <v>88</v>
      </c>
      <c r="B38" s="3" t="s">
        <v>38</v>
      </c>
      <c r="C38" s="10">
        <v>45663</v>
      </c>
      <c r="D38" s="3" t="s">
        <v>39</v>
      </c>
      <c r="E38" s="3" t="s">
        <v>40</v>
      </c>
      <c r="F38" s="19">
        <v>3024</v>
      </c>
      <c r="G38" s="19">
        <v>925</v>
      </c>
      <c r="H38" s="19">
        <v>350</v>
      </c>
      <c r="I38" s="19">
        <v>24192</v>
      </c>
      <c r="J38" s="19">
        <v>23518</v>
      </c>
      <c r="K38" s="19">
        <v>36</v>
      </c>
      <c r="L38" s="19">
        <f t="shared" si="0"/>
        <v>4299</v>
      </c>
      <c r="M38" s="4" t="s">
        <v>33</v>
      </c>
      <c r="N38" s="3" t="s">
        <v>33</v>
      </c>
      <c r="O38" s="3"/>
      <c r="P38" s="10"/>
      <c r="Q38" s="3" t="s">
        <v>23</v>
      </c>
      <c r="R38" s="67">
        <f t="shared" si="1"/>
        <v>0.17770337301587302</v>
      </c>
    </row>
    <row r="39" spans="1:18" ht="14.25" customHeight="1" x14ac:dyDescent="0.3">
      <c r="A39" s="3" t="s">
        <v>89</v>
      </c>
      <c r="B39" s="3" t="s">
        <v>25</v>
      </c>
      <c r="C39" s="10">
        <v>45705</v>
      </c>
      <c r="D39" s="3" t="s">
        <v>15</v>
      </c>
      <c r="E39" s="3" t="s">
        <v>26</v>
      </c>
      <c r="F39" s="19">
        <v>3138</v>
      </c>
      <c r="G39" s="19">
        <v>123</v>
      </c>
      <c r="H39" s="19">
        <v>291</v>
      </c>
      <c r="I39" s="19">
        <v>28242</v>
      </c>
      <c r="J39" s="19">
        <v>27550</v>
      </c>
      <c r="K39" s="19">
        <v>87</v>
      </c>
      <c r="L39" s="19">
        <f t="shared" si="0"/>
        <v>3552</v>
      </c>
      <c r="M39" s="4" t="s">
        <v>27</v>
      </c>
      <c r="N39" s="3" t="s">
        <v>27</v>
      </c>
      <c r="O39" s="3"/>
      <c r="P39" s="10"/>
      <c r="Q39" s="3" t="s">
        <v>34</v>
      </c>
      <c r="R39" s="67">
        <f t="shared" si="1"/>
        <v>0.12577012959422137</v>
      </c>
    </row>
    <row r="40" spans="1:18" ht="14.25" customHeight="1" x14ac:dyDescent="0.3">
      <c r="A40" s="3" t="s">
        <v>90</v>
      </c>
      <c r="B40" s="3" t="s">
        <v>38</v>
      </c>
      <c r="C40" s="10">
        <v>45621</v>
      </c>
      <c r="D40" s="3" t="s">
        <v>44</v>
      </c>
      <c r="E40" s="3" t="s">
        <v>49</v>
      </c>
      <c r="F40" s="19">
        <v>3564</v>
      </c>
      <c r="G40" s="19">
        <v>629</v>
      </c>
      <c r="H40" s="19">
        <v>177</v>
      </c>
      <c r="I40" s="19">
        <v>60588</v>
      </c>
      <c r="J40" s="19">
        <v>59627</v>
      </c>
      <c r="K40" s="19">
        <v>92</v>
      </c>
      <c r="L40" s="19">
        <f t="shared" si="0"/>
        <v>4370</v>
      </c>
      <c r="M40" s="4" t="s">
        <v>27</v>
      </c>
      <c r="N40" s="3" t="s">
        <v>27</v>
      </c>
      <c r="O40" s="3"/>
      <c r="P40" s="10"/>
      <c r="Q40" s="3" t="s">
        <v>397</v>
      </c>
      <c r="R40" s="67">
        <f t="shared" si="1"/>
        <v>7.2126493695121141E-2</v>
      </c>
    </row>
    <row r="41" spans="1:18" ht="14.25" customHeight="1" x14ac:dyDescent="0.3">
      <c r="A41" s="3" t="s">
        <v>91</v>
      </c>
      <c r="B41" s="3" t="s">
        <v>14</v>
      </c>
      <c r="C41" s="10">
        <v>45723</v>
      </c>
      <c r="D41" s="3" t="s">
        <v>44</v>
      </c>
      <c r="E41" s="3" t="s">
        <v>92</v>
      </c>
      <c r="F41" s="19">
        <v>4750</v>
      </c>
      <c r="G41" s="19">
        <v>151</v>
      </c>
      <c r="H41" s="19">
        <v>415</v>
      </c>
      <c r="I41" s="19">
        <v>38000</v>
      </c>
      <c r="J41" s="19">
        <v>37792</v>
      </c>
      <c r="K41" s="19">
        <v>299</v>
      </c>
      <c r="L41" s="19">
        <f t="shared" si="0"/>
        <v>5316</v>
      </c>
      <c r="M41" s="4" t="s">
        <v>33</v>
      </c>
      <c r="N41" s="3" t="s">
        <v>33</v>
      </c>
      <c r="O41" s="3"/>
      <c r="P41" s="10"/>
      <c r="Q41" s="3" t="s">
        <v>34</v>
      </c>
      <c r="R41" s="67">
        <f t="shared" si="1"/>
        <v>0.13989473684210527</v>
      </c>
    </row>
    <row r="42" spans="1:18" ht="14.25" customHeight="1" x14ac:dyDescent="0.3">
      <c r="A42" s="3" t="s">
        <v>93</v>
      </c>
      <c r="B42" s="3" t="s">
        <v>30</v>
      </c>
      <c r="C42" s="10">
        <v>45724</v>
      </c>
      <c r="D42" s="3" t="s">
        <v>15</v>
      </c>
      <c r="E42" s="3" t="s">
        <v>64</v>
      </c>
      <c r="F42" s="19">
        <v>456</v>
      </c>
      <c r="G42" s="19">
        <v>629</v>
      </c>
      <c r="H42" s="19">
        <v>428</v>
      </c>
      <c r="I42" s="19">
        <v>8208</v>
      </c>
      <c r="J42" s="19">
        <v>7377</v>
      </c>
      <c r="K42" s="19">
        <v>205</v>
      </c>
      <c r="L42" s="19">
        <f t="shared" si="0"/>
        <v>1513</v>
      </c>
      <c r="M42" s="4" t="s">
        <v>51</v>
      </c>
      <c r="N42" s="3" t="s">
        <v>51</v>
      </c>
      <c r="O42" s="3"/>
      <c r="P42" s="10"/>
      <c r="Q42" s="3" t="s">
        <v>34</v>
      </c>
      <c r="R42" s="67">
        <f t="shared" si="1"/>
        <v>0.18433235867446393</v>
      </c>
    </row>
    <row r="43" spans="1:18" ht="14.25" customHeight="1" x14ac:dyDescent="0.3">
      <c r="A43" s="3" t="s">
        <v>94</v>
      </c>
      <c r="B43" s="3" t="s">
        <v>25</v>
      </c>
      <c r="C43" s="10">
        <v>45721</v>
      </c>
      <c r="D43" s="3" t="s">
        <v>15</v>
      </c>
      <c r="E43" s="3" t="s">
        <v>26</v>
      </c>
      <c r="F43" s="19">
        <v>1543</v>
      </c>
      <c r="G43" s="19">
        <v>820</v>
      </c>
      <c r="H43" s="19">
        <v>333</v>
      </c>
      <c r="I43" s="19">
        <v>12344</v>
      </c>
      <c r="J43" s="19">
        <v>11496</v>
      </c>
      <c r="K43" s="19">
        <v>241</v>
      </c>
      <c r="L43" s="19">
        <f t="shared" si="0"/>
        <v>2696</v>
      </c>
      <c r="M43" s="4" t="s">
        <v>33</v>
      </c>
      <c r="N43" s="3" t="s">
        <v>33</v>
      </c>
      <c r="O43" s="3"/>
      <c r="P43" s="10"/>
      <c r="Q43" s="3" t="s">
        <v>397</v>
      </c>
      <c r="R43" s="67">
        <f t="shared" si="1"/>
        <v>0.21840570317563188</v>
      </c>
    </row>
    <row r="44" spans="1:18" ht="14.25" customHeight="1" x14ac:dyDescent="0.3">
      <c r="A44" s="3" t="s">
        <v>95</v>
      </c>
      <c r="B44" s="3" t="s">
        <v>30</v>
      </c>
      <c r="C44" s="10">
        <v>45640</v>
      </c>
      <c r="D44" s="3" t="s">
        <v>39</v>
      </c>
      <c r="E44" s="3" t="s">
        <v>68</v>
      </c>
      <c r="F44" s="19">
        <v>2174</v>
      </c>
      <c r="G44" s="19">
        <v>658</v>
      </c>
      <c r="H44" s="19">
        <v>15</v>
      </c>
      <c r="I44" s="19">
        <v>13044</v>
      </c>
      <c r="J44" s="19">
        <v>12206</v>
      </c>
      <c r="K44" s="19">
        <v>137</v>
      </c>
      <c r="L44" s="19">
        <f t="shared" si="0"/>
        <v>2847</v>
      </c>
      <c r="M44" s="4" t="s">
        <v>27</v>
      </c>
      <c r="N44" s="3" t="s">
        <v>27</v>
      </c>
      <c r="O44" s="3"/>
      <c r="P44" s="10"/>
      <c r="Q44" s="3" t="s">
        <v>28</v>
      </c>
      <c r="R44" s="67">
        <f t="shared" si="1"/>
        <v>0.21826126954921804</v>
      </c>
    </row>
    <row r="45" spans="1:18" ht="14.25" customHeight="1" x14ac:dyDescent="0.3">
      <c r="A45" s="3" t="s">
        <v>96</v>
      </c>
      <c r="B45" s="3" t="s">
        <v>14</v>
      </c>
      <c r="C45" s="10">
        <v>45718</v>
      </c>
      <c r="D45" s="3" t="s">
        <v>44</v>
      </c>
      <c r="E45" s="3" t="s">
        <v>92</v>
      </c>
      <c r="F45" s="19">
        <v>2358</v>
      </c>
      <c r="G45" s="19">
        <v>784</v>
      </c>
      <c r="H45" s="19">
        <v>344</v>
      </c>
      <c r="I45" s="19">
        <v>35370</v>
      </c>
      <c r="J45" s="19">
        <v>34475</v>
      </c>
      <c r="K45" s="19">
        <v>216</v>
      </c>
      <c r="L45" s="19">
        <f t="shared" si="0"/>
        <v>3486</v>
      </c>
      <c r="M45" s="4" t="s">
        <v>27</v>
      </c>
      <c r="N45" s="3" t="s">
        <v>27</v>
      </c>
      <c r="O45" s="3"/>
      <c r="P45" s="10"/>
      <c r="Q45" s="3" t="s">
        <v>397</v>
      </c>
      <c r="R45" s="67">
        <f t="shared" si="1"/>
        <v>9.8558100084817649E-2</v>
      </c>
    </row>
    <row r="46" spans="1:18" ht="14.25" customHeight="1" x14ac:dyDescent="0.3">
      <c r="A46" s="3" t="s">
        <v>97</v>
      </c>
      <c r="B46" s="3" t="s">
        <v>38</v>
      </c>
      <c r="C46" s="10">
        <v>45597</v>
      </c>
      <c r="D46" s="3" t="s">
        <v>59</v>
      </c>
      <c r="E46" s="3" t="s">
        <v>60</v>
      </c>
      <c r="F46" s="19">
        <v>3371</v>
      </c>
      <c r="G46" s="19">
        <v>106</v>
      </c>
      <c r="H46" s="19">
        <v>327</v>
      </c>
      <c r="I46" s="19">
        <v>50565</v>
      </c>
      <c r="J46" s="19">
        <v>49816</v>
      </c>
      <c r="K46" s="19">
        <v>176</v>
      </c>
      <c r="L46" s="19">
        <f t="shared" si="0"/>
        <v>3804</v>
      </c>
      <c r="M46" s="4" t="s">
        <v>51</v>
      </c>
      <c r="N46" s="3" t="s">
        <v>51</v>
      </c>
      <c r="O46" s="3"/>
      <c r="P46" s="10"/>
      <c r="Q46" s="3" t="s">
        <v>18</v>
      </c>
      <c r="R46" s="67">
        <f t="shared" si="1"/>
        <v>7.5229902106199939E-2</v>
      </c>
    </row>
    <row r="47" spans="1:18" ht="14.25" customHeight="1" x14ac:dyDescent="0.3">
      <c r="A47" s="3" t="s">
        <v>98</v>
      </c>
      <c r="B47" s="3" t="s">
        <v>14</v>
      </c>
      <c r="C47" s="10">
        <v>45779</v>
      </c>
      <c r="D47" s="3" t="s">
        <v>59</v>
      </c>
      <c r="E47" s="3" t="s">
        <v>99</v>
      </c>
      <c r="F47" s="19">
        <v>1108</v>
      </c>
      <c r="G47" s="19">
        <v>177</v>
      </c>
      <c r="H47" s="19">
        <v>212</v>
      </c>
      <c r="I47" s="19">
        <v>8864</v>
      </c>
      <c r="J47" s="19">
        <v>8710</v>
      </c>
      <c r="K47" s="19">
        <v>97</v>
      </c>
      <c r="L47" s="19">
        <f t="shared" si="0"/>
        <v>1497</v>
      </c>
      <c r="M47" s="4" t="s">
        <v>27</v>
      </c>
      <c r="N47" s="3" t="s">
        <v>27</v>
      </c>
      <c r="O47" s="3"/>
      <c r="P47" s="10"/>
      <c r="Q47" s="3" t="s">
        <v>34</v>
      </c>
      <c r="R47" s="67">
        <f t="shared" si="1"/>
        <v>0.16888537906137185</v>
      </c>
    </row>
    <row r="48" spans="1:18" ht="14.25" customHeight="1" x14ac:dyDescent="0.3">
      <c r="A48" s="3" t="s">
        <v>100</v>
      </c>
      <c r="B48" s="3" t="s">
        <v>14</v>
      </c>
      <c r="C48" s="10">
        <v>45712</v>
      </c>
      <c r="D48" s="3" t="s">
        <v>39</v>
      </c>
      <c r="E48" s="3" t="s">
        <v>42</v>
      </c>
      <c r="F48" s="19">
        <v>2704</v>
      </c>
      <c r="G48" s="19">
        <v>752</v>
      </c>
      <c r="H48" s="19">
        <v>153</v>
      </c>
      <c r="I48" s="19">
        <v>21632</v>
      </c>
      <c r="J48" s="19">
        <v>20792</v>
      </c>
      <c r="K48" s="19">
        <v>127</v>
      </c>
      <c r="L48" s="19">
        <f t="shared" si="0"/>
        <v>3609</v>
      </c>
      <c r="M48" s="4" t="s">
        <v>51</v>
      </c>
      <c r="N48" s="3" t="s">
        <v>51</v>
      </c>
      <c r="O48" s="3"/>
      <c r="P48" s="10"/>
      <c r="Q48" s="3" t="s">
        <v>397</v>
      </c>
      <c r="R48" s="67">
        <f t="shared" si="1"/>
        <v>0.16683616863905326</v>
      </c>
    </row>
    <row r="49" spans="1:18" ht="14.25" customHeight="1" x14ac:dyDescent="0.3">
      <c r="A49" s="3" t="s">
        <v>101</v>
      </c>
      <c r="B49" s="3" t="s">
        <v>14</v>
      </c>
      <c r="C49" s="10">
        <v>45727</v>
      </c>
      <c r="D49" s="3" t="s">
        <v>31</v>
      </c>
      <c r="E49" s="3" t="s">
        <v>102</v>
      </c>
      <c r="F49" s="19">
        <v>1950</v>
      </c>
      <c r="G49" s="19">
        <v>295</v>
      </c>
      <c r="H49" s="19">
        <v>478</v>
      </c>
      <c r="I49" s="19">
        <v>37050</v>
      </c>
      <c r="J49" s="19">
        <v>36272</v>
      </c>
      <c r="K49" s="19">
        <v>119</v>
      </c>
      <c r="L49" s="19">
        <f t="shared" si="0"/>
        <v>2723</v>
      </c>
      <c r="M49" s="4" t="s">
        <v>27</v>
      </c>
      <c r="N49" s="3" t="s">
        <v>27</v>
      </c>
      <c r="O49" s="3"/>
      <c r="P49" s="10"/>
      <c r="Q49" s="3" t="s">
        <v>397</v>
      </c>
      <c r="R49" s="67">
        <f t="shared" si="1"/>
        <v>7.349527665317139E-2</v>
      </c>
    </row>
    <row r="50" spans="1:18" ht="14.25" customHeight="1" x14ac:dyDescent="0.3">
      <c r="A50" s="3" t="s">
        <v>103</v>
      </c>
      <c r="B50" s="3" t="s">
        <v>14</v>
      </c>
      <c r="C50" s="10">
        <v>45453</v>
      </c>
      <c r="D50" s="3" t="s">
        <v>31</v>
      </c>
      <c r="E50" s="3" t="s">
        <v>102</v>
      </c>
      <c r="F50" s="19">
        <v>2164</v>
      </c>
      <c r="G50" s="19">
        <v>549</v>
      </c>
      <c r="H50" s="19">
        <v>274</v>
      </c>
      <c r="I50" s="19">
        <v>28132</v>
      </c>
      <c r="J50" s="19">
        <v>27361</v>
      </c>
      <c r="K50" s="19">
        <v>177</v>
      </c>
      <c r="L50" s="19">
        <f t="shared" si="0"/>
        <v>2987</v>
      </c>
      <c r="M50" s="4" t="s">
        <v>27</v>
      </c>
      <c r="N50" s="3" t="s">
        <v>27</v>
      </c>
      <c r="O50" s="3"/>
      <c r="P50" s="10"/>
      <c r="Q50" s="3" t="s">
        <v>34</v>
      </c>
      <c r="R50" s="67">
        <f t="shared" si="1"/>
        <v>0.10617801791554102</v>
      </c>
    </row>
    <row r="51" spans="1:18" ht="14.25" customHeight="1" x14ac:dyDescent="0.3">
      <c r="A51" s="3" t="s">
        <v>104</v>
      </c>
      <c r="B51" s="3" t="s">
        <v>25</v>
      </c>
      <c r="C51" s="10">
        <v>45476</v>
      </c>
      <c r="D51" s="3" t="s">
        <v>31</v>
      </c>
      <c r="E51" s="3" t="s">
        <v>105</v>
      </c>
      <c r="F51" s="19">
        <v>2754</v>
      </c>
      <c r="G51" s="19">
        <v>130</v>
      </c>
      <c r="H51" s="19">
        <v>90</v>
      </c>
      <c r="I51" s="19">
        <v>22032</v>
      </c>
      <c r="J51" s="19">
        <v>21288</v>
      </c>
      <c r="K51" s="19">
        <v>112</v>
      </c>
      <c r="L51" s="19">
        <f t="shared" si="0"/>
        <v>2974</v>
      </c>
      <c r="M51" s="4" t="s">
        <v>27</v>
      </c>
      <c r="N51" s="3" t="s">
        <v>27</v>
      </c>
      <c r="O51" s="3"/>
      <c r="P51" s="10"/>
      <c r="Q51" s="3" t="s">
        <v>28</v>
      </c>
      <c r="R51" s="67">
        <f t="shared" si="1"/>
        <v>0.13498547567175018</v>
      </c>
    </row>
    <row r="52" spans="1:18" ht="14.25" customHeight="1" x14ac:dyDescent="0.3">
      <c r="A52" s="3" t="s">
        <v>106</v>
      </c>
      <c r="B52" s="3" t="s">
        <v>38</v>
      </c>
      <c r="C52" s="10">
        <v>45456</v>
      </c>
      <c r="D52" s="3" t="s">
        <v>39</v>
      </c>
      <c r="E52" s="3" t="s">
        <v>40</v>
      </c>
      <c r="F52" s="19">
        <v>2200</v>
      </c>
      <c r="G52" s="19">
        <v>504</v>
      </c>
      <c r="H52" s="19">
        <v>239</v>
      </c>
      <c r="I52" s="19">
        <v>37400</v>
      </c>
      <c r="J52" s="19">
        <v>36938</v>
      </c>
      <c r="K52" s="19">
        <v>225</v>
      </c>
      <c r="L52" s="19">
        <f t="shared" si="0"/>
        <v>2943</v>
      </c>
      <c r="M52" s="4" t="s">
        <v>51</v>
      </c>
      <c r="N52" s="3" t="s">
        <v>51</v>
      </c>
      <c r="O52" s="3"/>
      <c r="P52" s="10"/>
      <c r="Q52" s="3" t="s">
        <v>23</v>
      </c>
      <c r="R52" s="67">
        <f t="shared" si="1"/>
        <v>7.8689839572192513E-2</v>
      </c>
    </row>
    <row r="53" spans="1:18" ht="14.25" customHeight="1" x14ac:dyDescent="0.3">
      <c r="A53" s="3" t="s">
        <v>107</v>
      </c>
      <c r="B53" s="3" t="s">
        <v>38</v>
      </c>
      <c r="C53" s="10">
        <v>45660</v>
      </c>
      <c r="D53" s="3" t="s">
        <v>44</v>
      </c>
      <c r="E53" s="3" t="s">
        <v>49</v>
      </c>
      <c r="F53" s="19">
        <v>947</v>
      </c>
      <c r="G53" s="19">
        <v>338</v>
      </c>
      <c r="H53" s="19">
        <v>350</v>
      </c>
      <c r="I53" s="19">
        <v>10417</v>
      </c>
      <c r="J53" s="19">
        <v>9730</v>
      </c>
      <c r="K53" s="19">
        <v>34</v>
      </c>
      <c r="L53" s="19">
        <f t="shared" si="0"/>
        <v>1635</v>
      </c>
      <c r="M53" s="4" t="s">
        <v>27</v>
      </c>
      <c r="N53" s="3" t="s">
        <v>27</v>
      </c>
      <c r="O53" s="3"/>
      <c r="P53" s="10"/>
      <c r="Q53" s="3" t="s">
        <v>34</v>
      </c>
      <c r="R53" s="67">
        <f t="shared" si="1"/>
        <v>0.1569549774407219</v>
      </c>
    </row>
    <row r="54" spans="1:18" ht="14.25" customHeight="1" x14ac:dyDescent="0.3">
      <c r="A54" s="3" t="s">
        <v>108</v>
      </c>
      <c r="B54" s="3" t="s">
        <v>25</v>
      </c>
      <c r="C54" s="10">
        <v>45712</v>
      </c>
      <c r="D54" s="3" t="s">
        <v>39</v>
      </c>
      <c r="E54" s="3" t="s">
        <v>55</v>
      </c>
      <c r="F54" s="19">
        <v>804</v>
      </c>
      <c r="G54" s="19">
        <v>639</v>
      </c>
      <c r="H54" s="19">
        <v>43</v>
      </c>
      <c r="I54" s="19">
        <v>4020</v>
      </c>
      <c r="J54" s="19">
        <v>3144</v>
      </c>
      <c r="K54" s="19">
        <v>11</v>
      </c>
      <c r="L54" s="19">
        <f t="shared" si="0"/>
        <v>1486</v>
      </c>
      <c r="M54" s="4" t="s">
        <v>109</v>
      </c>
      <c r="N54" s="3" t="s">
        <v>33</v>
      </c>
      <c r="O54" s="3" t="s">
        <v>393</v>
      </c>
      <c r="P54" s="10"/>
      <c r="Q54" s="3" t="s">
        <v>397</v>
      </c>
      <c r="R54" s="67">
        <f t="shared" si="1"/>
        <v>0.36965174129353234</v>
      </c>
    </row>
    <row r="55" spans="1:18" ht="14.25" customHeight="1" x14ac:dyDescent="0.3">
      <c r="A55" s="3" t="s">
        <v>110</v>
      </c>
      <c r="B55" s="3" t="s">
        <v>25</v>
      </c>
      <c r="C55" s="10">
        <v>45729</v>
      </c>
      <c r="D55" s="3" t="s">
        <v>39</v>
      </c>
      <c r="E55" s="3" t="s">
        <v>55</v>
      </c>
      <c r="F55" s="19">
        <v>1686</v>
      </c>
      <c r="G55" s="19">
        <v>904</v>
      </c>
      <c r="H55" s="19">
        <v>472</v>
      </c>
      <c r="I55" s="19">
        <v>18546</v>
      </c>
      <c r="J55" s="19">
        <v>18171</v>
      </c>
      <c r="K55" s="19">
        <v>52</v>
      </c>
      <c r="L55" s="19">
        <f t="shared" si="0"/>
        <v>3062</v>
      </c>
      <c r="M55" s="4" t="s">
        <v>51</v>
      </c>
      <c r="N55" s="3" t="s">
        <v>51</v>
      </c>
      <c r="O55" s="3"/>
      <c r="P55" s="10"/>
      <c r="Q55" s="3" t="s">
        <v>23</v>
      </c>
      <c r="R55" s="67">
        <f t="shared" si="1"/>
        <v>0.16510298716704411</v>
      </c>
    </row>
    <row r="56" spans="1:18" ht="14.25" customHeight="1" x14ac:dyDescent="0.3">
      <c r="A56" s="3" t="s">
        <v>111</v>
      </c>
      <c r="B56" s="3" t="s">
        <v>38</v>
      </c>
      <c r="C56" s="10">
        <v>45460</v>
      </c>
      <c r="D56" s="3" t="s">
        <v>44</v>
      </c>
      <c r="E56" s="3" t="s">
        <v>49</v>
      </c>
      <c r="F56" s="19">
        <v>1226</v>
      </c>
      <c r="G56" s="19">
        <v>119</v>
      </c>
      <c r="H56" s="19">
        <v>7</v>
      </c>
      <c r="I56" s="19">
        <v>14712</v>
      </c>
      <c r="J56" s="19">
        <v>14049</v>
      </c>
      <c r="K56" s="19">
        <v>123</v>
      </c>
      <c r="L56" s="19">
        <f t="shared" si="0"/>
        <v>1352</v>
      </c>
      <c r="M56" s="4" t="s">
        <v>33</v>
      </c>
      <c r="N56" s="3" t="s">
        <v>33</v>
      </c>
      <c r="O56" s="3"/>
      <c r="P56" s="10"/>
      <c r="Q56" s="3" t="s">
        <v>34</v>
      </c>
      <c r="R56" s="67">
        <f t="shared" si="1"/>
        <v>9.1897770527460579E-2</v>
      </c>
    </row>
    <row r="57" spans="1:18" ht="14.25" customHeight="1" x14ac:dyDescent="0.3">
      <c r="A57" s="3" t="s">
        <v>112</v>
      </c>
      <c r="B57" s="3" t="s">
        <v>38</v>
      </c>
      <c r="C57" s="10">
        <v>45644</v>
      </c>
      <c r="D57" s="3" t="s">
        <v>39</v>
      </c>
      <c r="E57" s="3" t="s">
        <v>40</v>
      </c>
      <c r="F57" s="19">
        <v>2946</v>
      </c>
      <c r="G57" s="19">
        <v>498</v>
      </c>
      <c r="H57" s="19">
        <v>367</v>
      </c>
      <c r="I57" s="19">
        <v>29460</v>
      </c>
      <c r="J57" s="19">
        <v>28527</v>
      </c>
      <c r="K57" s="19">
        <v>60</v>
      </c>
      <c r="L57" s="19">
        <f t="shared" si="0"/>
        <v>3811</v>
      </c>
      <c r="M57" s="4" t="s">
        <v>51</v>
      </c>
      <c r="N57" s="3" t="s">
        <v>51</v>
      </c>
      <c r="O57" s="3"/>
      <c r="P57" s="10"/>
      <c r="Q57" s="3" t="s">
        <v>28</v>
      </c>
      <c r="R57" s="67">
        <f t="shared" si="1"/>
        <v>0.12936184657162253</v>
      </c>
    </row>
    <row r="58" spans="1:18" ht="14.25" customHeight="1" x14ac:dyDescent="0.3">
      <c r="A58" s="3" t="s">
        <v>113</v>
      </c>
      <c r="B58" s="3" t="s">
        <v>14</v>
      </c>
      <c r="C58" s="10">
        <v>45586</v>
      </c>
      <c r="D58" s="3" t="s">
        <v>59</v>
      </c>
      <c r="E58" s="3" t="s">
        <v>99</v>
      </c>
      <c r="F58" s="19">
        <v>2825</v>
      </c>
      <c r="G58" s="19">
        <v>535</v>
      </c>
      <c r="H58" s="19">
        <v>295</v>
      </c>
      <c r="I58" s="19">
        <v>45200</v>
      </c>
      <c r="J58" s="19">
        <v>44739</v>
      </c>
      <c r="K58" s="19">
        <v>169</v>
      </c>
      <c r="L58" s="19">
        <f t="shared" si="0"/>
        <v>3655</v>
      </c>
      <c r="M58" s="4" t="s">
        <v>27</v>
      </c>
      <c r="N58" s="3" t="s">
        <v>27</v>
      </c>
      <c r="O58" s="3"/>
      <c r="P58" s="10"/>
      <c r="Q58" s="3" t="s">
        <v>18</v>
      </c>
      <c r="R58" s="67">
        <f t="shared" si="1"/>
        <v>8.0862831858407078E-2</v>
      </c>
    </row>
    <row r="59" spans="1:18" ht="14.25" customHeight="1" x14ac:dyDescent="0.3">
      <c r="A59" s="3" t="s">
        <v>114</v>
      </c>
      <c r="B59" s="3" t="s">
        <v>30</v>
      </c>
      <c r="C59" s="10">
        <v>45762</v>
      </c>
      <c r="D59" s="3" t="s">
        <v>15</v>
      </c>
      <c r="E59" s="3" t="s">
        <v>64</v>
      </c>
      <c r="F59" s="19">
        <v>103</v>
      </c>
      <c r="G59" s="19">
        <v>770</v>
      </c>
      <c r="H59" s="19">
        <v>19</v>
      </c>
      <c r="I59" s="19">
        <v>1030</v>
      </c>
      <c r="J59" s="19">
        <v>410</v>
      </c>
      <c r="K59" s="19">
        <v>262</v>
      </c>
      <c r="L59" s="19">
        <f t="shared" si="0"/>
        <v>892</v>
      </c>
      <c r="M59" s="4" t="s">
        <v>27</v>
      </c>
      <c r="N59" s="3" t="s">
        <v>27</v>
      </c>
      <c r="O59" s="3"/>
      <c r="P59" s="10"/>
      <c r="Q59" s="3" t="s">
        <v>34</v>
      </c>
      <c r="R59" s="67">
        <f t="shared" si="1"/>
        <v>0.86601941747572819</v>
      </c>
    </row>
    <row r="60" spans="1:18" ht="14.25" customHeight="1" x14ac:dyDescent="0.3">
      <c r="A60" s="3" t="s">
        <v>115</v>
      </c>
      <c r="B60" s="3" t="s">
        <v>30</v>
      </c>
      <c r="C60" s="10">
        <v>45465</v>
      </c>
      <c r="D60" s="3" t="s">
        <v>20</v>
      </c>
      <c r="E60" s="3" t="s">
        <v>82</v>
      </c>
      <c r="F60" s="19">
        <v>2180</v>
      </c>
      <c r="G60" s="19">
        <v>263</v>
      </c>
      <c r="H60" s="19">
        <v>387</v>
      </c>
      <c r="I60" s="19">
        <v>30520</v>
      </c>
      <c r="J60" s="19">
        <v>30059</v>
      </c>
      <c r="K60" s="19">
        <v>174</v>
      </c>
      <c r="L60" s="19">
        <f t="shared" si="0"/>
        <v>2830</v>
      </c>
      <c r="M60" s="4" t="s">
        <v>33</v>
      </c>
      <c r="N60" s="3" t="s">
        <v>33</v>
      </c>
      <c r="O60" s="3"/>
      <c r="P60" s="10"/>
      <c r="Q60" s="3" t="s">
        <v>397</v>
      </c>
      <c r="R60" s="67">
        <f t="shared" si="1"/>
        <v>9.2726081258191345E-2</v>
      </c>
    </row>
    <row r="61" spans="1:18" ht="14.25" customHeight="1" x14ac:dyDescent="0.3">
      <c r="A61" s="3" t="s">
        <v>116</v>
      </c>
      <c r="B61" s="3" t="s">
        <v>30</v>
      </c>
      <c r="C61" s="10">
        <v>45685</v>
      </c>
      <c r="D61" s="3" t="s">
        <v>59</v>
      </c>
      <c r="E61" s="3" t="s">
        <v>66</v>
      </c>
      <c r="F61" s="19">
        <v>904</v>
      </c>
      <c r="G61" s="19">
        <v>973</v>
      </c>
      <c r="H61" s="19">
        <v>63</v>
      </c>
      <c r="I61" s="19">
        <v>11752</v>
      </c>
      <c r="J61" s="19">
        <v>11580</v>
      </c>
      <c r="K61" s="19">
        <v>84</v>
      </c>
      <c r="L61" s="19">
        <f t="shared" si="0"/>
        <v>1940</v>
      </c>
      <c r="M61" s="4" t="s">
        <v>117</v>
      </c>
      <c r="N61" s="3" t="s">
        <v>33</v>
      </c>
      <c r="O61" s="3" t="s">
        <v>27</v>
      </c>
      <c r="P61" s="10" t="s">
        <v>392</v>
      </c>
      <c r="Q61" s="3" t="s">
        <v>28</v>
      </c>
      <c r="R61" s="67">
        <f t="shared" si="1"/>
        <v>0.1650782845473111</v>
      </c>
    </row>
    <row r="62" spans="1:18" ht="14.25" customHeight="1" x14ac:dyDescent="0.3">
      <c r="A62" s="3" t="s">
        <v>118</v>
      </c>
      <c r="B62" s="3" t="s">
        <v>14</v>
      </c>
      <c r="C62" s="10">
        <v>45540</v>
      </c>
      <c r="D62" s="3" t="s">
        <v>59</v>
      </c>
      <c r="E62" s="3" t="s">
        <v>99</v>
      </c>
      <c r="F62" s="19">
        <v>4886</v>
      </c>
      <c r="G62" s="19">
        <v>983</v>
      </c>
      <c r="H62" s="19">
        <v>409</v>
      </c>
      <c r="I62" s="19">
        <v>43974</v>
      </c>
      <c r="J62" s="19">
        <v>43239</v>
      </c>
      <c r="K62" s="19">
        <v>65</v>
      </c>
      <c r="L62" s="19">
        <f t="shared" si="0"/>
        <v>6278</v>
      </c>
      <c r="M62" s="4" t="s">
        <v>27</v>
      </c>
      <c r="N62" s="3" t="s">
        <v>27</v>
      </c>
      <c r="O62" s="3"/>
      <c r="P62" s="10"/>
      <c r="Q62" s="3" t="s">
        <v>18</v>
      </c>
      <c r="R62" s="67">
        <f t="shared" si="1"/>
        <v>0.14276618001546368</v>
      </c>
    </row>
    <row r="63" spans="1:18" ht="14.25" customHeight="1" x14ac:dyDescent="0.3">
      <c r="A63" s="3" t="s">
        <v>119</v>
      </c>
      <c r="B63" s="3" t="s">
        <v>14</v>
      </c>
      <c r="C63" s="10">
        <v>45618</v>
      </c>
      <c r="D63" s="3" t="s">
        <v>39</v>
      </c>
      <c r="E63" s="3" t="s">
        <v>42</v>
      </c>
      <c r="F63" s="19">
        <v>53</v>
      </c>
      <c r="G63" s="19">
        <v>81</v>
      </c>
      <c r="H63" s="19">
        <v>379</v>
      </c>
      <c r="I63" s="19">
        <v>954</v>
      </c>
      <c r="J63" s="19">
        <v>7</v>
      </c>
      <c r="K63" s="19">
        <v>148</v>
      </c>
      <c r="L63" s="19">
        <f t="shared" si="0"/>
        <v>513</v>
      </c>
      <c r="M63" s="4" t="s">
        <v>27</v>
      </c>
      <c r="N63" s="3" t="s">
        <v>27</v>
      </c>
      <c r="O63" s="3"/>
      <c r="P63" s="10"/>
      <c r="Q63" s="3" t="s">
        <v>28</v>
      </c>
      <c r="R63" s="67">
        <f t="shared" si="1"/>
        <v>0.53773584905660377</v>
      </c>
    </row>
    <row r="64" spans="1:18" ht="14.25" customHeight="1" x14ac:dyDescent="0.3">
      <c r="A64" s="3" t="s">
        <v>120</v>
      </c>
      <c r="B64" s="3" t="s">
        <v>14</v>
      </c>
      <c r="C64" s="10">
        <v>45504</v>
      </c>
      <c r="D64" s="3" t="s">
        <v>39</v>
      </c>
      <c r="E64" s="3" t="s">
        <v>42</v>
      </c>
      <c r="F64" s="19">
        <v>4507</v>
      </c>
      <c r="G64" s="19">
        <v>217</v>
      </c>
      <c r="H64" s="19">
        <v>13</v>
      </c>
      <c r="I64" s="19">
        <v>90140</v>
      </c>
      <c r="J64" s="19">
        <v>89591</v>
      </c>
      <c r="K64" s="19">
        <v>125</v>
      </c>
      <c r="L64" s="19">
        <f t="shared" si="0"/>
        <v>4737</v>
      </c>
      <c r="M64" s="4" t="s">
        <v>51</v>
      </c>
      <c r="N64" s="3" t="s">
        <v>51</v>
      </c>
      <c r="O64" s="3"/>
      <c r="P64" s="10"/>
      <c r="Q64" s="3" t="s">
        <v>28</v>
      </c>
      <c r="R64" s="67">
        <f t="shared" si="1"/>
        <v>5.2551586421122697E-2</v>
      </c>
    </row>
    <row r="65" spans="1:18" ht="14.25" customHeight="1" x14ac:dyDescent="0.3">
      <c r="A65" s="3" t="s">
        <v>121</v>
      </c>
      <c r="B65" s="3" t="s">
        <v>38</v>
      </c>
      <c r="C65" s="10">
        <v>45521</v>
      </c>
      <c r="D65" s="3" t="s">
        <v>44</v>
      </c>
      <c r="E65" s="3" t="s">
        <v>49</v>
      </c>
      <c r="F65" s="19">
        <v>2878</v>
      </c>
      <c r="G65" s="19">
        <v>248</v>
      </c>
      <c r="H65" s="19">
        <v>416</v>
      </c>
      <c r="I65" s="19">
        <v>43170</v>
      </c>
      <c r="J65" s="19">
        <v>42667</v>
      </c>
      <c r="K65" s="19">
        <v>75</v>
      </c>
      <c r="L65" s="19">
        <f t="shared" si="0"/>
        <v>3542</v>
      </c>
      <c r="M65" s="4" t="s">
        <v>51</v>
      </c>
      <c r="N65" s="3" t="s">
        <v>51</v>
      </c>
      <c r="O65" s="3"/>
      <c r="P65" s="10"/>
      <c r="Q65" s="3" t="s">
        <v>28</v>
      </c>
      <c r="R65" s="67">
        <f t="shared" si="1"/>
        <v>8.2047718322909427E-2</v>
      </c>
    </row>
    <row r="66" spans="1:18" ht="14.25" customHeight="1" x14ac:dyDescent="0.3">
      <c r="A66" s="3" t="s">
        <v>122</v>
      </c>
      <c r="B66" s="3" t="s">
        <v>30</v>
      </c>
      <c r="C66" s="10">
        <v>45744</v>
      </c>
      <c r="D66" s="3" t="s">
        <v>31</v>
      </c>
      <c r="E66" s="3" t="s">
        <v>32</v>
      </c>
      <c r="F66" s="19">
        <v>1881</v>
      </c>
      <c r="G66" s="19">
        <v>501</v>
      </c>
      <c r="H66" s="19">
        <v>99</v>
      </c>
      <c r="I66" s="19">
        <v>20691</v>
      </c>
      <c r="J66" s="19">
        <v>19987</v>
      </c>
      <c r="K66" s="19">
        <v>289</v>
      </c>
      <c r="L66" s="19">
        <f t="shared" si="0"/>
        <v>2481</v>
      </c>
      <c r="M66" s="4" t="s">
        <v>33</v>
      </c>
      <c r="N66" s="3" t="s">
        <v>33</v>
      </c>
      <c r="O66" s="3"/>
      <c r="P66" s="10"/>
      <c r="Q66" s="3" t="s">
        <v>397</v>
      </c>
      <c r="R66" s="67">
        <f t="shared" si="1"/>
        <v>0.11990720603160794</v>
      </c>
    </row>
    <row r="67" spans="1:18" ht="14.25" customHeight="1" x14ac:dyDescent="0.3">
      <c r="A67" s="3" t="s">
        <v>123</v>
      </c>
      <c r="B67" s="3" t="s">
        <v>14</v>
      </c>
      <c r="C67" s="10">
        <v>45499</v>
      </c>
      <c r="D67" s="3" t="s">
        <v>39</v>
      </c>
      <c r="E67" s="3" t="s">
        <v>42</v>
      </c>
      <c r="F67" s="19">
        <v>432</v>
      </c>
      <c r="G67" s="19">
        <v>171</v>
      </c>
      <c r="H67" s="19">
        <v>280</v>
      </c>
      <c r="I67" s="19">
        <v>3024</v>
      </c>
      <c r="J67" s="19">
        <v>2285</v>
      </c>
      <c r="K67" s="19">
        <v>184</v>
      </c>
      <c r="L67" s="19">
        <f t="shared" ref="L67:L130" si="2">SUM($F67:$H67)</f>
        <v>883</v>
      </c>
      <c r="M67" s="4" t="s">
        <v>33</v>
      </c>
      <c r="N67" s="3" t="s">
        <v>33</v>
      </c>
      <c r="O67" s="3"/>
      <c r="P67" s="10"/>
      <c r="Q67" s="3" t="s">
        <v>18</v>
      </c>
      <c r="R67" s="67">
        <f t="shared" ref="R67:R130" si="3">SUM(F67:H67)/I67</f>
        <v>0.29199735449735448</v>
      </c>
    </row>
    <row r="68" spans="1:18" ht="14.25" customHeight="1" x14ac:dyDescent="0.3">
      <c r="A68" s="3" t="s">
        <v>124</v>
      </c>
      <c r="B68" s="3" t="s">
        <v>38</v>
      </c>
      <c r="C68" s="10">
        <v>45745</v>
      </c>
      <c r="D68" s="3" t="s">
        <v>39</v>
      </c>
      <c r="E68" s="3" t="s">
        <v>40</v>
      </c>
      <c r="F68" s="19">
        <v>4712</v>
      </c>
      <c r="G68" s="19">
        <v>568</v>
      </c>
      <c r="H68" s="19">
        <v>127</v>
      </c>
      <c r="I68" s="19">
        <v>84816</v>
      </c>
      <c r="J68" s="19">
        <v>84691</v>
      </c>
      <c r="K68" s="19">
        <v>100</v>
      </c>
      <c r="L68" s="19">
        <f t="shared" si="2"/>
        <v>5407</v>
      </c>
      <c r="M68" s="4" t="s">
        <v>33</v>
      </c>
      <c r="N68" s="3" t="s">
        <v>33</v>
      </c>
      <c r="O68" s="3"/>
      <c r="P68" s="10"/>
      <c r="Q68" s="3" t="s">
        <v>28</v>
      </c>
      <c r="R68" s="67">
        <f t="shared" si="3"/>
        <v>6.3749764195434822E-2</v>
      </c>
    </row>
    <row r="69" spans="1:18" ht="14.25" customHeight="1" x14ac:dyDescent="0.3">
      <c r="A69" s="3" t="s">
        <v>125</v>
      </c>
      <c r="B69" s="3" t="s">
        <v>30</v>
      </c>
      <c r="C69" s="10">
        <v>45634</v>
      </c>
      <c r="D69" s="3" t="s">
        <v>31</v>
      </c>
      <c r="E69" s="3" t="s">
        <v>32</v>
      </c>
      <c r="F69" s="19">
        <v>2610</v>
      </c>
      <c r="G69" s="19">
        <v>126</v>
      </c>
      <c r="H69" s="19">
        <v>288</v>
      </c>
      <c r="I69" s="19">
        <v>15660</v>
      </c>
      <c r="J69" s="19">
        <v>15145</v>
      </c>
      <c r="K69" s="19">
        <v>73</v>
      </c>
      <c r="L69" s="19">
        <f t="shared" si="2"/>
        <v>3024</v>
      </c>
      <c r="M69" s="4" t="s">
        <v>33</v>
      </c>
      <c r="N69" s="3" t="s">
        <v>33</v>
      </c>
      <c r="O69" s="3"/>
      <c r="P69" s="10"/>
      <c r="Q69" s="3" t="s">
        <v>397</v>
      </c>
      <c r="R69" s="67">
        <f t="shared" si="3"/>
        <v>0.19310344827586207</v>
      </c>
    </row>
    <row r="70" spans="1:18" ht="14.25" customHeight="1" x14ac:dyDescent="0.3">
      <c r="A70" s="3" t="s">
        <v>126</v>
      </c>
      <c r="B70" s="3" t="s">
        <v>14</v>
      </c>
      <c r="C70" s="10">
        <v>45724</v>
      </c>
      <c r="D70" s="3" t="s">
        <v>20</v>
      </c>
      <c r="E70" s="3" t="s">
        <v>21</v>
      </c>
      <c r="F70" s="19">
        <v>1292</v>
      </c>
      <c r="G70" s="19">
        <v>626</v>
      </c>
      <c r="H70" s="19">
        <v>496</v>
      </c>
      <c r="I70" s="19">
        <v>25840</v>
      </c>
      <c r="J70" s="19">
        <v>24916</v>
      </c>
      <c r="K70" s="19">
        <v>149</v>
      </c>
      <c r="L70" s="19">
        <f t="shared" si="2"/>
        <v>2414</v>
      </c>
      <c r="M70" s="4" t="s">
        <v>51</v>
      </c>
      <c r="N70" s="3" t="s">
        <v>51</v>
      </c>
      <c r="O70" s="3"/>
      <c r="P70" s="10"/>
      <c r="Q70" s="3" t="s">
        <v>28</v>
      </c>
      <c r="R70" s="67">
        <f t="shared" si="3"/>
        <v>9.3421052631578946E-2</v>
      </c>
    </row>
    <row r="71" spans="1:18" ht="14.25" customHeight="1" x14ac:dyDescent="0.3">
      <c r="A71" s="3" t="s">
        <v>127</v>
      </c>
      <c r="B71" s="3" t="s">
        <v>38</v>
      </c>
      <c r="C71" s="10">
        <v>45749</v>
      </c>
      <c r="D71" s="3" t="s">
        <v>59</v>
      </c>
      <c r="E71" s="3" t="s">
        <v>60</v>
      </c>
      <c r="F71" s="19">
        <v>199</v>
      </c>
      <c r="G71" s="19">
        <v>772</v>
      </c>
      <c r="H71" s="19">
        <v>400</v>
      </c>
      <c r="I71" s="19">
        <v>3582</v>
      </c>
      <c r="J71" s="19">
        <v>2988</v>
      </c>
      <c r="K71" s="19">
        <v>43</v>
      </c>
      <c r="L71" s="19">
        <f t="shared" si="2"/>
        <v>1371</v>
      </c>
      <c r="M71" s="4" t="s">
        <v>27</v>
      </c>
      <c r="N71" s="3" t="s">
        <v>27</v>
      </c>
      <c r="O71" s="3"/>
      <c r="P71" s="10"/>
      <c r="Q71" s="3" t="s">
        <v>397</v>
      </c>
      <c r="R71" s="67">
        <f t="shared" si="3"/>
        <v>0.38274706867671693</v>
      </c>
    </row>
    <row r="72" spans="1:18" ht="14.25" customHeight="1" x14ac:dyDescent="0.3">
      <c r="A72" s="3" t="s">
        <v>128</v>
      </c>
      <c r="B72" s="3" t="s">
        <v>25</v>
      </c>
      <c r="C72" s="10">
        <v>45537</v>
      </c>
      <c r="D72" s="3" t="s">
        <v>39</v>
      </c>
      <c r="E72" s="3" t="s">
        <v>55</v>
      </c>
      <c r="F72" s="19">
        <v>2551</v>
      </c>
      <c r="G72" s="19">
        <v>915</v>
      </c>
      <c r="H72" s="19">
        <v>205</v>
      </c>
      <c r="I72" s="19">
        <v>30612</v>
      </c>
      <c r="J72" s="19">
        <v>30360</v>
      </c>
      <c r="K72" s="19">
        <v>227</v>
      </c>
      <c r="L72" s="19">
        <f t="shared" si="2"/>
        <v>3671</v>
      </c>
      <c r="M72" s="4" t="s">
        <v>27</v>
      </c>
      <c r="N72" s="3" t="s">
        <v>27</v>
      </c>
      <c r="O72" s="3"/>
      <c r="P72" s="10"/>
      <c r="Q72" s="3" t="s">
        <v>23</v>
      </c>
      <c r="R72" s="67">
        <f t="shared" si="3"/>
        <v>0.1199202926956749</v>
      </c>
    </row>
    <row r="73" spans="1:18" ht="14.25" customHeight="1" x14ac:dyDescent="0.3">
      <c r="A73" s="3" t="s">
        <v>129</v>
      </c>
      <c r="B73" s="3" t="s">
        <v>25</v>
      </c>
      <c r="C73" s="10">
        <v>45719</v>
      </c>
      <c r="D73" s="3" t="s">
        <v>15</v>
      </c>
      <c r="E73" s="3" t="s">
        <v>26</v>
      </c>
      <c r="F73" s="19">
        <v>296</v>
      </c>
      <c r="G73" s="19">
        <v>60</v>
      </c>
      <c r="H73" s="19">
        <v>141</v>
      </c>
      <c r="I73" s="19">
        <v>5624</v>
      </c>
      <c r="J73" s="19">
        <v>5239</v>
      </c>
      <c r="K73" s="19">
        <v>88</v>
      </c>
      <c r="L73" s="19">
        <f t="shared" si="2"/>
        <v>497</v>
      </c>
      <c r="M73" s="4" t="s">
        <v>33</v>
      </c>
      <c r="N73" s="3" t="s">
        <v>33</v>
      </c>
      <c r="O73" s="3"/>
      <c r="P73" s="10"/>
      <c r="Q73" s="3" t="s">
        <v>23</v>
      </c>
      <c r="R73" s="67">
        <f t="shared" si="3"/>
        <v>8.837126600284495E-2</v>
      </c>
    </row>
    <row r="74" spans="1:18" ht="14.25" customHeight="1" x14ac:dyDescent="0.3">
      <c r="A74" s="3" t="s">
        <v>130</v>
      </c>
      <c r="B74" s="3" t="s">
        <v>38</v>
      </c>
      <c r="C74" s="10">
        <v>45583</v>
      </c>
      <c r="D74" s="3" t="s">
        <v>31</v>
      </c>
      <c r="E74" s="3" t="s">
        <v>57</v>
      </c>
      <c r="F74" s="19">
        <v>4126</v>
      </c>
      <c r="G74" s="19">
        <v>426</v>
      </c>
      <c r="H74" s="19">
        <v>486</v>
      </c>
      <c r="I74" s="19">
        <v>78394</v>
      </c>
      <c r="J74" s="19">
        <v>77798</v>
      </c>
      <c r="K74" s="19">
        <v>88</v>
      </c>
      <c r="L74" s="19">
        <f t="shared" si="2"/>
        <v>5038</v>
      </c>
      <c r="M74" s="4" t="s">
        <v>51</v>
      </c>
      <c r="N74" s="3" t="s">
        <v>51</v>
      </c>
      <c r="O74" s="3"/>
      <c r="P74" s="10"/>
      <c r="Q74" s="3" t="s">
        <v>34</v>
      </c>
      <c r="R74" s="67">
        <f t="shared" si="3"/>
        <v>6.4265122330790625E-2</v>
      </c>
    </row>
    <row r="75" spans="1:18" ht="14.25" customHeight="1" x14ac:dyDescent="0.3">
      <c r="A75" s="3" t="s">
        <v>131</v>
      </c>
      <c r="B75" s="3" t="s">
        <v>25</v>
      </c>
      <c r="C75" s="10">
        <v>45593</v>
      </c>
      <c r="D75" s="3" t="s">
        <v>15</v>
      </c>
      <c r="E75" s="3" t="s">
        <v>26</v>
      </c>
      <c r="F75" s="19">
        <v>1855</v>
      </c>
      <c r="G75" s="19">
        <v>200</v>
      </c>
      <c r="H75" s="19">
        <v>174</v>
      </c>
      <c r="I75" s="19">
        <v>16695</v>
      </c>
      <c r="J75" s="19">
        <v>16330</v>
      </c>
      <c r="K75" s="19">
        <v>123</v>
      </c>
      <c r="L75" s="19">
        <f t="shared" si="2"/>
        <v>2229</v>
      </c>
      <c r="M75" s="4" t="s">
        <v>27</v>
      </c>
      <c r="N75" s="3" t="s">
        <v>27</v>
      </c>
      <c r="O75" s="3"/>
      <c r="P75" s="10"/>
      <c r="Q75" s="3" t="s">
        <v>28</v>
      </c>
      <c r="R75" s="67">
        <f t="shared" si="3"/>
        <v>0.13351302785265048</v>
      </c>
    </row>
    <row r="76" spans="1:18" ht="14.25" customHeight="1" x14ac:dyDescent="0.3">
      <c r="A76" s="3" t="s">
        <v>132</v>
      </c>
      <c r="B76" s="3" t="s">
        <v>30</v>
      </c>
      <c r="C76" s="10">
        <v>45505</v>
      </c>
      <c r="D76" s="3" t="s">
        <v>15</v>
      </c>
      <c r="E76" s="3" t="s">
        <v>64</v>
      </c>
      <c r="F76" s="19">
        <v>1674</v>
      </c>
      <c r="G76" s="19">
        <v>929</v>
      </c>
      <c r="H76" s="19">
        <v>37</v>
      </c>
      <c r="I76" s="19">
        <v>21762</v>
      </c>
      <c r="J76" s="19">
        <v>20998</v>
      </c>
      <c r="K76" s="19">
        <v>255</v>
      </c>
      <c r="L76" s="19">
        <f t="shared" si="2"/>
        <v>2640</v>
      </c>
      <c r="M76" s="4" t="s">
        <v>27</v>
      </c>
      <c r="N76" s="3" t="s">
        <v>27</v>
      </c>
      <c r="O76" s="3"/>
      <c r="P76" s="10"/>
      <c r="Q76" s="3" t="s">
        <v>34</v>
      </c>
      <c r="R76" s="67">
        <f t="shared" si="3"/>
        <v>0.12131237937689551</v>
      </c>
    </row>
    <row r="77" spans="1:18" ht="14.25" customHeight="1" x14ac:dyDescent="0.3">
      <c r="A77" s="3" t="s">
        <v>133</v>
      </c>
      <c r="B77" s="3" t="s">
        <v>14</v>
      </c>
      <c r="C77" s="10">
        <v>45603</v>
      </c>
      <c r="D77" s="3" t="s">
        <v>31</v>
      </c>
      <c r="E77" s="3" t="s">
        <v>102</v>
      </c>
      <c r="F77" s="19">
        <v>1121</v>
      </c>
      <c r="G77" s="19">
        <v>135</v>
      </c>
      <c r="H77" s="19">
        <v>18</v>
      </c>
      <c r="I77" s="19">
        <v>15694</v>
      </c>
      <c r="J77" s="19">
        <v>14957</v>
      </c>
      <c r="K77" s="19">
        <v>99</v>
      </c>
      <c r="L77" s="19">
        <f t="shared" si="2"/>
        <v>1274</v>
      </c>
      <c r="M77" s="4" t="s">
        <v>27</v>
      </c>
      <c r="N77" s="3" t="s">
        <v>27</v>
      </c>
      <c r="O77" s="3"/>
      <c r="P77" s="10"/>
      <c r="Q77" s="3" t="s">
        <v>34</v>
      </c>
      <c r="R77" s="67">
        <f t="shared" si="3"/>
        <v>8.1177520071364848E-2</v>
      </c>
    </row>
    <row r="78" spans="1:18" ht="14.25" customHeight="1" x14ac:dyDescent="0.3">
      <c r="A78" s="3" t="s">
        <v>134</v>
      </c>
      <c r="B78" s="3" t="s">
        <v>38</v>
      </c>
      <c r="C78" s="10">
        <v>45720</v>
      </c>
      <c r="D78" s="3" t="s">
        <v>31</v>
      </c>
      <c r="E78" s="3" t="s">
        <v>57</v>
      </c>
      <c r="F78" s="19">
        <v>1249</v>
      </c>
      <c r="G78" s="19">
        <v>116</v>
      </c>
      <c r="H78" s="19">
        <v>420</v>
      </c>
      <c r="I78" s="19">
        <v>8743</v>
      </c>
      <c r="J78" s="19">
        <v>8538</v>
      </c>
      <c r="K78" s="19">
        <v>63</v>
      </c>
      <c r="L78" s="19">
        <f t="shared" si="2"/>
        <v>1785</v>
      </c>
      <c r="M78" s="4" t="s">
        <v>27</v>
      </c>
      <c r="N78" s="3" t="s">
        <v>27</v>
      </c>
      <c r="O78" s="3"/>
      <c r="P78" s="10"/>
      <c r="Q78" s="3" t="s">
        <v>397</v>
      </c>
      <c r="R78" s="67">
        <f t="shared" si="3"/>
        <v>0.20416333066453163</v>
      </c>
    </row>
    <row r="79" spans="1:18" ht="14.25" customHeight="1" x14ac:dyDescent="0.3">
      <c r="A79" s="3" t="s">
        <v>135</v>
      </c>
      <c r="B79" s="3" t="s">
        <v>14</v>
      </c>
      <c r="C79" s="10">
        <v>45460</v>
      </c>
      <c r="D79" s="3" t="s">
        <v>44</v>
      </c>
      <c r="E79" s="3" t="s">
        <v>92</v>
      </c>
      <c r="F79" s="19">
        <v>954</v>
      </c>
      <c r="G79" s="19">
        <v>324</v>
      </c>
      <c r="H79" s="19">
        <v>288</v>
      </c>
      <c r="I79" s="19">
        <v>19080</v>
      </c>
      <c r="J79" s="19">
        <v>18859</v>
      </c>
      <c r="K79" s="19">
        <v>21</v>
      </c>
      <c r="L79" s="19">
        <f t="shared" si="2"/>
        <v>1566</v>
      </c>
      <c r="M79" s="4" t="s">
        <v>51</v>
      </c>
      <c r="N79" s="3" t="s">
        <v>51</v>
      </c>
      <c r="O79" s="3"/>
      <c r="P79" s="10"/>
      <c r="Q79" s="3" t="s">
        <v>34</v>
      </c>
      <c r="R79" s="67">
        <f t="shared" si="3"/>
        <v>8.2075471698113203E-2</v>
      </c>
    </row>
    <row r="80" spans="1:18" ht="14.25" customHeight="1" x14ac:dyDescent="0.3">
      <c r="A80" s="3" t="s">
        <v>136</v>
      </c>
      <c r="B80" s="3" t="s">
        <v>30</v>
      </c>
      <c r="C80" s="10">
        <v>45574</v>
      </c>
      <c r="D80" s="3" t="s">
        <v>39</v>
      </c>
      <c r="E80" s="3" t="s">
        <v>68</v>
      </c>
      <c r="F80" s="19">
        <v>3068</v>
      </c>
      <c r="G80" s="19">
        <v>137</v>
      </c>
      <c r="H80" s="19">
        <v>329</v>
      </c>
      <c r="I80" s="19">
        <v>39884</v>
      </c>
      <c r="J80" s="19">
        <v>39404</v>
      </c>
      <c r="K80" s="19">
        <v>266</v>
      </c>
      <c r="L80" s="19">
        <f t="shared" si="2"/>
        <v>3534</v>
      </c>
      <c r="M80" s="4" t="s">
        <v>33</v>
      </c>
      <c r="N80" s="3" t="s">
        <v>33</v>
      </c>
      <c r="O80" s="3"/>
      <c r="P80" s="10"/>
      <c r="Q80" s="3" t="s">
        <v>23</v>
      </c>
      <c r="R80" s="67">
        <f t="shared" si="3"/>
        <v>8.860696018453515E-2</v>
      </c>
    </row>
    <row r="81" spans="1:18" ht="14.25" customHeight="1" x14ac:dyDescent="0.3">
      <c r="A81" s="3" t="s">
        <v>137</v>
      </c>
      <c r="B81" s="3" t="s">
        <v>30</v>
      </c>
      <c r="C81" s="10">
        <v>45456</v>
      </c>
      <c r="D81" s="3" t="s">
        <v>31</v>
      </c>
      <c r="E81" s="3" t="s">
        <v>32</v>
      </c>
      <c r="F81" s="19">
        <v>2103</v>
      </c>
      <c r="G81" s="19">
        <v>892</v>
      </c>
      <c r="H81" s="19">
        <v>103</v>
      </c>
      <c r="I81" s="19">
        <v>39957</v>
      </c>
      <c r="J81" s="19">
        <v>39466</v>
      </c>
      <c r="K81" s="19">
        <v>28</v>
      </c>
      <c r="L81" s="19">
        <f t="shared" si="2"/>
        <v>3098</v>
      </c>
      <c r="M81" s="4" t="s">
        <v>51</v>
      </c>
      <c r="N81" s="3" t="s">
        <v>51</v>
      </c>
      <c r="O81" s="3"/>
      <c r="P81" s="10"/>
      <c r="Q81" s="3" t="s">
        <v>397</v>
      </c>
      <c r="R81" s="67">
        <f t="shared" si="3"/>
        <v>7.7533348349475686E-2</v>
      </c>
    </row>
    <row r="82" spans="1:18" ht="14.25" customHeight="1" x14ac:dyDescent="0.3">
      <c r="A82" s="3" t="s">
        <v>138</v>
      </c>
      <c r="B82" s="3" t="s">
        <v>30</v>
      </c>
      <c r="C82" s="10">
        <v>45584</v>
      </c>
      <c r="D82" s="3" t="s">
        <v>31</v>
      </c>
      <c r="E82" s="3" t="s">
        <v>32</v>
      </c>
      <c r="F82" s="19">
        <v>1816</v>
      </c>
      <c r="G82" s="19">
        <v>29</v>
      </c>
      <c r="H82" s="19">
        <v>41</v>
      </c>
      <c r="I82" s="19">
        <v>19976</v>
      </c>
      <c r="J82" s="19">
        <v>19262</v>
      </c>
      <c r="K82" s="19">
        <v>283</v>
      </c>
      <c r="L82" s="19">
        <f t="shared" si="2"/>
        <v>1886</v>
      </c>
      <c r="M82" s="4" t="s">
        <v>27</v>
      </c>
      <c r="N82" s="3" t="s">
        <v>27</v>
      </c>
      <c r="O82" s="3"/>
      <c r="P82" s="10"/>
      <c r="Q82" s="3" t="s">
        <v>28</v>
      </c>
      <c r="R82" s="67">
        <f t="shared" si="3"/>
        <v>9.4413295955146179E-2</v>
      </c>
    </row>
    <row r="83" spans="1:18" ht="14.25" customHeight="1" x14ac:dyDescent="0.3">
      <c r="A83" s="3" t="s">
        <v>139</v>
      </c>
      <c r="B83" s="3" t="s">
        <v>30</v>
      </c>
      <c r="C83" s="10">
        <v>45497</v>
      </c>
      <c r="D83" s="3" t="s">
        <v>44</v>
      </c>
      <c r="E83" s="3" t="s">
        <v>140</v>
      </c>
      <c r="F83" s="19">
        <v>725</v>
      </c>
      <c r="G83" s="19">
        <v>88</v>
      </c>
      <c r="H83" s="19">
        <v>428</v>
      </c>
      <c r="I83" s="19">
        <v>14500</v>
      </c>
      <c r="J83" s="19">
        <v>13637</v>
      </c>
      <c r="K83" s="19">
        <v>200</v>
      </c>
      <c r="L83" s="19">
        <f t="shared" si="2"/>
        <v>1241</v>
      </c>
      <c r="M83" s="4" t="s">
        <v>141</v>
      </c>
      <c r="N83" s="3" t="s">
        <v>51</v>
      </c>
      <c r="O83" s="3" t="s">
        <v>27</v>
      </c>
      <c r="P83" s="10" t="s">
        <v>392</v>
      </c>
      <c r="Q83" s="3" t="s">
        <v>28</v>
      </c>
      <c r="R83" s="67">
        <f t="shared" si="3"/>
        <v>8.558620689655172E-2</v>
      </c>
    </row>
    <row r="84" spans="1:18" ht="14.25" customHeight="1" x14ac:dyDescent="0.3">
      <c r="A84" s="3" t="s">
        <v>142</v>
      </c>
      <c r="B84" s="3" t="s">
        <v>25</v>
      </c>
      <c r="C84" s="10">
        <v>45580</v>
      </c>
      <c r="D84" s="3" t="s">
        <v>59</v>
      </c>
      <c r="E84" s="3" t="s">
        <v>143</v>
      </c>
      <c r="F84" s="19">
        <v>1094</v>
      </c>
      <c r="G84" s="19">
        <v>472</v>
      </c>
      <c r="H84" s="19">
        <v>21</v>
      </c>
      <c r="I84" s="19">
        <v>9846</v>
      </c>
      <c r="J84" s="19">
        <v>9609</v>
      </c>
      <c r="K84" s="19">
        <v>112</v>
      </c>
      <c r="L84" s="19">
        <f t="shared" si="2"/>
        <v>1587</v>
      </c>
      <c r="M84" s="4" t="s">
        <v>33</v>
      </c>
      <c r="N84" s="3" t="s">
        <v>33</v>
      </c>
      <c r="O84" s="3"/>
      <c r="P84" s="10"/>
      <c r="Q84" s="3" t="s">
        <v>397</v>
      </c>
      <c r="R84" s="67">
        <f t="shared" si="3"/>
        <v>0.16118220597196831</v>
      </c>
    </row>
    <row r="85" spans="1:18" ht="14.25" customHeight="1" x14ac:dyDescent="0.3">
      <c r="A85" s="3" t="s">
        <v>144</v>
      </c>
      <c r="B85" s="3" t="s">
        <v>38</v>
      </c>
      <c r="C85" s="10">
        <v>45635</v>
      </c>
      <c r="D85" s="3" t="s">
        <v>44</v>
      </c>
      <c r="E85" s="3" t="s">
        <v>49</v>
      </c>
      <c r="F85" s="19">
        <v>1841</v>
      </c>
      <c r="G85" s="19">
        <v>851</v>
      </c>
      <c r="H85" s="19">
        <v>342</v>
      </c>
      <c r="I85" s="19">
        <v>34979</v>
      </c>
      <c r="J85" s="19">
        <v>34154</v>
      </c>
      <c r="K85" s="19">
        <v>255</v>
      </c>
      <c r="L85" s="19">
        <f t="shared" si="2"/>
        <v>3034</v>
      </c>
      <c r="M85" s="4" t="s">
        <v>51</v>
      </c>
      <c r="N85" s="3" t="s">
        <v>51</v>
      </c>
      <c r="O85" s="3"/>
      <c r="P85" s="10"/>
      <c r="Q85" s="3" t="s">
        <v>34</v>
      </c>
      <c r="R85" s="67">
        <f t="shared" si="3"/>
        <v>8.6737756939878216E-2</v>
      </c>
    </row>
    <row r="86" spans="1:18" ht="14.25" customHeight="1" x14ac:dyDescent="0.3">
      <c r="A86" s="3" t="s">
        <v>145</v>
      </c>
      <c r="B86" s="3" t="s">
        <v>30</v>
      </c>
      <c r="C86" s="10">
        <v>45766</v>
      </c>
      <c r="D86" s="3" t="s">
        <v>44</v>
      </c>
      <c r="E86" s="3" t="s">
        <v>140</v>
      </c>
      <c r="F86" s="19">
        <v>4177</v>
      </c>
      <c r="G86" s="19">
        <v>569</v>
      </c>
      <c r="H86" s="19">
        <v>55</v>
      </c>
      <c r="I86" s="19">
        <v>25062</v>
      </c>
      <c r="J86" s="19">
        <v>24847</v>
      </c>
      <c r="K86" s="19">
        <v>230</v>
      </c>
      <c r="L86" s="19">
        <f t="shared" si="2"/>
        <v>4801</v>
      </c>
      <c r="M86" s="4" t="s">
        <v>51</v>
      </c>
      <c r="N86" s="3" t="s">
        <v>51</v>
      </c>
      <c r="O86" s="3"/>
      <c r="P86" s="10"/>
      <c r="Q86" s="3" t="s">
        <v>18</v>
      </c>
      <c r="R86" s="67">
        <f t="shared" si="3"/>
        <v>0.19156491900087783</v>
      </c>
    </row>
    <row r="87" spans="1:18" ht="14.25" customHeight="1" x14ac:dyDescent="0.3">
      <c r="A87" s="3" t="s">
        <v>146</v>
      </c>
      <c r="B87" s="3" t="s">
        <v>25</v>
      </c>
      <c r="C87" s="10">
        <v>45684</v>
      </c>
      <c r="D87" s="3" t="s">
        <v>20</v>
      </c>
      <c r="E87" s="3" t="s">
        <v>77</v>
      </c>
      <c r="F87" s="19">
        <v>3428</v>
      </c>
      <c r="G87" s="19">
        <v>305</v>
      </c>
      <c r="H87" s="19">
        <v>85</v>
      </c>
      <c r="I87" s="19">
        <v>58276</v>
      </c>
      <c r="J87" s="19">
        <v>58052</v>
      </c>
      <c r="K87" s="19">
        <v>242</v>
      </c>
      <c r="L87" s="19">
        <f t="shared" si="2"/>
        <v>3818</v>
      </c>
      <c r="M87" s="4" t="s">
        <v>109</v>
      </c>
      <c r="N87" s="3" t="s">
        <v>33</v>
      </c>
      <c r="O87" s="3" t="s">
        <v>393</v>
      </c>
      <c r="P87" s="10"/>
      <c r="Q87" s="3" t="s">
        <v>34</v>
      </c>
      <c r="R87" s="67">
        <f t="shared" si="3"/>
        <v>6.5515821264328367E-2</v>
      </c>
    </row>
    <row r="88" spans="1:18" ht="14.25" customHeight="1" x14ac:dyDescent="0.3">
      <c r="A88" s="3" t="s">
        <v>147</v>
      </c>
      <c r="B88" s="3" t="s">
        <v>14</v>
      </c>
      <c r="C88" s="10">
        <v>45449</v>
      </c>
      <c r="D88" s="3" t="s">
        <v>59</v>
      </c>
      <c r="E88" s="3" t="s">
        <v>99</v>
      </c>
      <c r="F88" s="19">
        <v>1436</v>
      </c>
      <c r="G88" s="19">
        <v>765</v>
      </c>
      <c r="H88" s="19">
        <v>496</v>
      </c>
      <c r="I88" s="19">
        <v>12924</v>
      </c>
      <c r="J88" s="19">
        <v>12701</v>
      </c>
      <c r="K88" s="19">
        <v>197</v>
      </c>
      <c r="L88" s="19">
        <f t="shared" si="2"/>
        <v>2697</v>
      </c>
      <c r="M88" s="4" t="s">
        <v>51</v>
      </c>
      <c r="N88" s="3" t="s">
        <v>51</v>
      </c>
      <c r="O88" s="3"/>
      <c r="P88" s="10"/>
      <c r="Q88" s="3" t="s">
        <v>28</v>
      </c>
      <c r="R88" s="67">
        <f t="shared" si="3"/>
        <v>0.20868152274837512</v>
      </c>
    </row>
    <row r="89" spans="1:18" ht="14.25" customHeight="1" x14ac:dyDescent="0.3">
      <c r="A89" s="3" t="s">
        <v>148</v>
      </c>
      <c r="B89" s="3" t="s">
        <v>38</v>
      </c>
      <c r="C89" s="10">
        <v>45480</v>
      </c>
      <c r="D89" s="3" t="s">
        <v>31</v>
      </c>
      <c r="E89" s="3" t="s">
        <v>57</v>
      </c>
      <c r="F89" s="19">
        <v>302</v>
      </c>
      <c r="G89" s="19">
        <v>47</v>
      </c>
      <c r="H89" s="19">
        <v>430</v>
      </c>
      <c r="I89" s="19">
        <v>5738</v>
      </c>
      <c r="J89" s="19">
        <v>4890</v>
      </c>
      <c r="K89" s="19">
        <v>25</v>
      </c>
      <c r="L89" s="19">
        <f t="shared" si="2"/>
        <v>779</v>
      </c>
      <c r="M89" s="4" t="s">
        <v>27</v>
      </c>
      <c r="N89" s="3" t="s">
        <v>27</v>
      </c>
      <c r="O89" s="3"/>
      <c r="P89" s="10"/>
      <c r="Q89" s="3" t="s">
        <v>34</v>
      </c>
      <c r="R89" s="67">
        <f t="shared" si="3"/>
        <v>0.13576158940397351</v>
      </c>
    </row>
    <row r="90" spans="1:18" ht="14.25" customHeight="1" x14ac:dyDescent="0.3">
      <c r="A90" s="3" t="s">
        <v>149</v>
      </c>
      <c r="B90" s="3" t="s">
        <v>14</v>
      </c>
      <c r="C90" s="10">
        <v>45667</v>
      </c>
      <c r="D90" s="3" t="s">
        <v>44</v>
      </c>
      <c r="E90" s="3" t="s">
        <v>92</v>
      </c>
      <c r="F90" s="19">
        <v>2214</v>
      </c>
      <c r="G90" s="19">
        <v>249</v>
      </c>
      <c r="H90" s="19">
        <v>152</v>
      </c>
      <c r="I90" s="19">
        <v>15498</v>
      </c>
      <c r="J90" s="19">
        <v>14800</v>
      </c>
      <c r="K90" s="19">
        <v>180</v>
      </c>
      <c r="L90" s="19">
        <f t="shared" si="2"/>
        <v>2615</v>
      </c>
      <c r="M90" s="4" t="s">
        <v>33</v>
      </c>
      <c r="N90" s="3" t="s">
        <v>33</v>
      </c>
      <c r="O90" s="3"/>
      <c r="P90" s="10"/>
      <c r="Q90" s="3" t="s">
        <v>397</v>
      </c>
      <c r="R90" s="67">
        <f t="shared" si="3"/>
        <v>0.16873144921925409</v>
      </c>
    </row>
    <row r="91" spans="1:18" ht="14.25" customHeight="1" x14ac:dyDescent="0.3">
      <c r="A91" s="3" t="s">
        <v>150</v>
      </c>
      <c r="B91" s="3" t="s">
        <v>30</v>
      </c>
      <c r="C91" s="10">
        <v>45446</v>
      </c>
      <c r="D91" s="3" t="s">
        <v>44</v>
      </c>
      <c r="E91" s="3" t="s">
        <v>140</v>
      </c>
      <c r="F91" s="19">
        <v>3861</v>
      </c>
      <c r="G91" s="19">
        <v>960</v>
      </c>
      <c r="H91" s="19">
        <v>101</v>
      </c>
      <c r="I91" s="19">
        <v>69498</v>
      </c>
      <c r="J91" s="19">
        <v>68817</v>
      </c>
      <c r="K91" s="19">
        <v>297</v>
      </c>
      <c r="L91" s="19">
        <f t="shared" si="2"/>
        <v>4922</v>
      </c>
      <c r="M91" s="4" t="s">
        <v>27</v>
      </c>
      <c r="N91" s="3" t="s">
        <v>27</v>
      </c>
      <c r="O91" s="3"/>
      <c r="P91" s="10"/>
      <c r="Q91" s="3" t="s">
        <v>34</v>
      </c>
      <c r="R91" s="67">
        <f t="shared" si="3"/>
        <v>7.0822181933293038E-2</v>
      </c>
    </row>
    <row r="92" spans="1:18" ht="14.25" customHeight="1" x14ac:dyDescent="0.3">
      <c r="A92" s="3" t="s">
        <v>151</v>
      </c>
      <c r="B92" s="3" t="s">
        <v>38</v>
      </c>
      <c r="C92" s="10">
        <v>45740</v>
      </c>
      <c r="D92" s="3" t="s">
        <v>44</v>
      </c>
      <c r="E92" s="3" t="s">
        <v>49</v>
      </c>
      <c r="F92" s="19">
        <v>1263</v>
      </c>
      <c r="G92" s="19">
        <v>397</v>
      </c>
      <c r="H92" s="19">
        <v>357</v>
      </c>
      <c r="I92" s="19">
        <v>25260</v>
      </c>
      <c r="J92" s="19">
        <v>24615</v>
      </c>
      <c r="K92" s="19">
        <v>137</v>
      </c>
      <c r="L92" s="19">
        <f t="shared" si="2"/>
        <v>2017</v>
      </c>
      <c r="M92" s="4" t="s">
        <v>33</v>
      </c>
      <c r="N92" s="3" t="s">
        <v>33</v>
      </c>
      <c r="O92" s="3"/>
      <c r="P92" s="10"/>
      <c r="Q92" s="3" t="s">
        <v>34</v>
      </c>
      <c r="R92" s="67">
        <f t="shared" si="3"/>
        <v>7.984956452889945E-2</v>
      </c>
    </row>
    <row r="93" spans="1:18" ht="14.25" customHeight="1" x14ac:dyDescent="0.3">
      <c r="A93" s="3" t="s">
        <v>152</v>
      </c>
      <c r="B93" s="3" t="s">
        <v>14</v>
      </c>
      <c r="C93" s="10">
        <v>45586</v>
      </c>
      <c r="D93" s="3" t="s">
        <v>31</v>
      </c>
      <c r="E93" s="3" t="s">
        <v>102</v>
      </c>
      <c r="F93" s="19">
        <v>3801</v>
      </c>
      <c r="G93" s="19">
        <v>967</v>
      </c>
      <c r="H93" s="19">
        <v>401</v>
      </c>
      <c r="I93" s="19">
        <v>38010</v>
      </c>
      <c r="J93" s="19">
        <v>37625</v>
      </c>
      <c r="K93" s="19">
        <v>236</v>
      </c>
      <c r="L93" s="19">
        <f t="shared" si="2"/>
        <v>5169</v>
      </c>
      <c r="M93" s="4" t="s">
        <v>51</v>
      </c>
      <c r="N93" s="3" t="s">
        <v>51</v>
      </c>
      <c r="O93" s="3"/>
      <c r="P93" s="10"/>
      <c r="Q93" s="3" t="s">
        <v>28</v>
      </c>
      <c r="R93" s="67">
        <f t="shared" si="3"/>
        <v>0.13599052880820836</v>
      </c>
    </row>
    <row r="94" spans="1:18" ht="14.25" customHeight="1" x14ac:dyDescent="0.3">
      <c r="A94" s="3" t="s">
        <v>153</v>
      </c>
      <c r="B94" s="3" t="s">
        <v>30</v>
      </c>
      <c r="C94" s="10">
        <v>45637</v>
      </c>
      <c r="D94" s="3" t="s">
        <v>59</v>
      </c>
      <c r="E94" s="3" t="s">
        <v>66</v>
      </c>
      <c r="F94" s="19">
        <v>1431</v>
      </c>
      <c r="G94" s="19">
        <v>951</v>
      </c>
      <c r="H94" s="19">
        <v>26</v>
      </c>
      <c r="I94" s="19">
        <v>8586</v>
      </c>
      <c r="J94" s="19">
        <v>8396</v>
      </c>
      <c r="K94" s="19">
        <v>150</v>
      </c>
      <c r="L94" s="19">
        <f t="shared" si="2"/>
        <v>2408</v>
      </c>
      <c r="M94" s="4" t="s">
        <v>33</v>
      </c>
      <c r="N94" s="3" t="s">
        <v>33</v>
      </c>
      <c r="O94" s="3"/>
      <c r="P94" s="10"/>
      <c r="Q94" s="3" t="s">
        <v>28</v>
      </c>
      <c r="R94" s="67">
        <f t="shared" si="3"/>
        <v>0.28045655718611695</v>
      </c>
    </row>
    <row r="95" spans="1:18" ht="14.25" customHeight="1" x14ac:dyDescent="0.3">
      <c r="A95" s="3" t="s">
        <v>154</v>
      </c>
      <c r="B95" s="3" t="s">
        <v>30</v>
      </c>
      <c r="C95" s="10">
        <v>45603</v>
      </c>
      <c r="D95" s="3" t="s">
        <v>44</v>
      </c>
      <c r="E95" s="3" t="s">
        <v>140</v>
      </c>
      <c r="F95" s="19">
        <v>2647</v>
      </c>
      <c r="G95" s="19">
        <v>304</v>
      </c>
      <c r="H95" s="19">
        <v>170</v>
      </c>
      <c r="I95" s="19">
        <v>18529</v>
      </c>
      <c r="J95" s="19">
        <v>17841</v>
      </c>
      <c r="K95" s="19">
        <v>46</v>
      </c>
      <c r="L95" s="19">
        <f t="shared" si="2"/>
        <v>3121</v>
      </c>
      <c r="M95" s="4" t="s">
        <v>51</v>
      </c>
      <c r="N95" s="3" t="s">
        <v>51</v>
      </c>
      <c r="O95" s="3"/>
      <c r="P95" s="10"/>
      <c r="Q95" s="3" t="s">
        <v>28</v>
      </c>
      <c r="R95" s="67">
        <f t="shared" si="3"/>
        <v>0.16843866371633656</v>
      </c>
    </row>
    <row r="96" spans="1:18" ht="14.25" customHeight="1" x14ac:dyDescent="0.3">
      <c r="A96" s="3" t="s">
        <v>155</v>
      </c>
      <c r="B96" s="3" t="s">
        <v>30</v>
      </c>
      <c r="C96" s="10">
        <v>45604</v>
      </c>
      <c r="D96" s="3" t="s">
        <v>20</v>
      </c>
      <c r="E96" s="3" t="s">
        <v>82</v>
      </c>
      <c r="F96" s="19">
        <v>3182</v>
      </c>
      <c r="G96" s="19">
        <v>559</v>
      </c>
      <c r="H96" s="19">
        <v>160</v>
      </c>
      <c r="I96" s="19">
        <v>57276</v>
      </c>
      <c r="J96" s="19">
        <v>56890</v>
      </c>
      <c r="K96" s="19">
        <v>163</v>
      </c>
      <c r="L96" s="19">
        <f t="shared" si="2"/>
        <v>3901</v>
      </c>
      <c r="M96" s="4" t="s">
        <v>51</v>
      </c>
      <c r="N96" s="3" t="s">
        <v>51</v>
      </c>
      <c r="O96" s="3"/>
      <c r="P96" s="10"/>
      <c r="Q96" s="3" t="s">
        <v>34</v>
      </c>
      <c r="R96" s="67">
        <f t="shared" si="3"/>
        <v>6.8108806480899509E-2</v>
      </c>
    </row>
    <row r="97" spans="1:18" ht="14.25" customHeight="1" x14ac:dyDescent="0.3">
      <c r="A97" s="3" t="s">
        <v>156</v>
      </c>
      <c r="B97" s="3" t="s">
        <v>14</v>
      </c>
      <c r="C97" s="10">
        <v>45545</v>
      </c>
      <c r="D97" s="3" t="s">
        <v>44</v>
      </c>
      <c r="E97" s="3" t="s">
        <v>92</v>
      </c>
      <c r="F97" s="19">
        <v>1238</v>
      </c>
      <c r="G97" s="19">
        <v>366</v>
      </c>
      <c r="H97" s="19">
        <v>444</v>
      </c>
      <c r="I97" s="19">
        <v>19808</v>
      </c>
      <c r="J97" s="19">
        <v>19334</v>
      </c>
      <c r="K97" s="19">
        <v>123</v>
      </c>
      <c r="L97" s="19">
        <f t="shared" si="2"/>
        <v>2048</v>
      </c>
      <c r="M97" s="4" t="s">
        <v>51</v>
      </c>
      <c r="N97" s="3" t="s">
        <v>51</v>
      </c>
      <c r="O97" s="3"/>
      <c r="P97" s="10"/>
      <c r="Q97" s="3" t="s">
        <v>397</v>
      </c>
      <c r="R97" s="67">
        <f t="shared" si="3"/>
        <v>0.10339256865912763</v>
      </c>
    </row>
    <row r="98" spans="1:18" ht="14.25" customHeight="1" x14ac:dyDescent="0.3">
      <c r="A98" s="3" t="s">
        <v>157</v>
      </c>
      <c r="B98" s="3" t="s">
        <v>30</v>
      </c>
      <c r="C98" s="10">
        <v>45517</v>
      </c>
      <c r="D98" s="3" t="s">
        <v>44</v>
      </c>
      <c r="E98" s="3" t="s">
        <v>140</v>
      </c>
      <c r="F98" s="19">
        <v>4739</v>
      </c>
      <c r="G98" s="19">
        <v>527</v>
      </c>
      <c r="H98" s="19">
        <v>135</v>
      </c>
      <c r="I98" s="19">
        <v>61607</v>
      </c>
      <c r="J98" s="19">
        <v>61333</v>
      </c>
      <c r="K98" s="19">
        <v>36</v>
      </c>
      <c r="L98" s="19">
        <f t="shared" si="2"/>
        <v>5401</v>
      </c>
      <c r="M98" s="4" t="s">
        <v>72</v>
      </c>
      <c r="N98" s="3" t="s">
        <v>27</v>
      </c>
      <c r="O98" s="3" t="s">
        <v>392</v>
      </c>
      <c r="P98" s="10"/>
      <c r="Q98" s="3" t="s">
        <v>23</v>
      </c>
      <c r="R98" s="67">
        <f t="shared" si="3"/>
        <v>8.7668609086629767E-2</v>
      </c>
    </row>
    <row r="99" spans="1:18" ht="14.25" customHeight="1" x14ac:dyDescent="0.3">
      <c r="A99" s="3" t="s">
        <v>158</v>
      </c>
      <c r="B99" s="3" t="s">
        <v>14</v>
      </c>
      <c r="C99" s="10">
        <v>45453</v>
      </c>
      <c r="D99" s="3" t="s">
        <v>31</v>
      </c>
      <c r="E99" s="3" t="s">
        <v>102</v>
      </c>
      <c r="F99" s="19">
        <v>1575</v>
      </c>
      <c r="G99" s="19">
        <v>771</v>
      </c>
      <c r="H99" s="19">
        <v>486</v>
      </c>
      <c r="I99" s="19">
        <v>25200</v>
      </c>
      <c r="J99" s="19">
        <v>24826</v>
      </c>
      <c r="K99" s="19">
        <v>17</v>
      </c>
      <c r="L99" s="19">
        <f t="shared" si="2"/>
        <v>2832</v>
      </c>
      <c r="M99" s="4" t="s">
        <v>51</v>
      </c>
      <c r="N99" s="3" t="s">
        <v>51</v>
      </c>
      <c r="O99" s="3"/>
      <c r="P99" s="10"/>
      <c r="Q99" s="3" t="s">
        <v>34</v>
      </c>
      <c r="R99" s="67">
        <f t="shared" si="3"/>
        <v>0.11238095238095239</v>
      </c>
    </row>
    <row r="100" spans="1:18" ht="14.25" customHeight="1" x14ac:dyDescent="0.3">
      <c r="A100" s="3" t="s">
        <v>159</v>
      </c>
      <c r="B100" s="3" t="s">
        <v>25</v>
      </c>
      <c r="C100" s="10">
        <v>45475</v>
      </c>
      <c r="D100" s="3" t="s">
        <v>39</v>
      </c>
      <c r="E100" s="3" t="s">
        <v>55</v>
      </c>
      <c r="F100" s="19">
        <v>4171</v>
      </c>
      <c r="G100" s="19">
        <v>548</v>
      </c>
      <c r="H100" s="19">
        <v>86</v>
      </c>
      <c r="I100" s="19">
        <v>66736</v>
      </c>
      <c r="J100" s="19">
        <v>66634</v>
      </c>
      <c r="K100" s="19">
        <v>173</v>
      </c>
      <c r="L100" s="19">
        <f t="shared" si="2"/>
        <v>4805</v>
      </c>
      <c r="M100" s="4" t="s">
        <v>51</v>
      </c>
      <c r="N100" s="3" t="s">
        <v>51</v>
      </c>
      <c r="O100" s="3"/>
      <c r="P100" s="10"/>
      <c r="Q100" s="3" t="s">
        <v>28</v>
      </c>
      <c r="R100" s="67">
        <f t="shared" si="3"/>
        <v>7.2000119875329657E-2</v>
      </c>
    </row>
    <row r="101" spans="1:18" ht="14.25" customHeight="1" x14ac:dyDescent="0.3">
      <c r="A101" s="3" t="s">
        <v>160</v>
      </c>
      <c r="B101" s="3" t="s">
        <v>25</v>
      </c>
      <c r="C101" s="10">
        <v>45698</v>
      </c>
      <c r="D101" s="3" t="s">
        <v>59</v>
      </c>
      <c r="E101" s="3" t="s">
        <v>143</v>
      </c>
      <c r="F101" s="19">
        <v>1766</v>
      </c>
      <c r="G101" s="19">
        <v>92</v>
      </c>
      <c r="H101" s="19">
        <v>424</v>
      </c>
      <c r="I101" s="19">
        <v>24724</v>
      </c>
      <c r="J101" s="19">
        <v>24333</v>
      </c>
      <c r="K101" s="19">
        <v>52</v>
      </c>
      <c r="L101" s="19">
        <f t="shared" si="2"/>
        <v>2282</v>
      </c>
      <c r="M101" s="4" t="s">
        <v>33</v>
      </c>
      <c r="N101" s="3" t="s">
        <v>33</v>
      </c>
      <c r="O101" s="3"/>
      <c r="P101" s="10"/>
      <c r="Q101" s="3" t="s">
        <v>397</v>
      </c>
      <c r="R101" s="67">
        <f t="shared" si="3"/>
        <v>9.2298980747451867E-2</v>
      </c>
    </row>
    <row r="102" spans="1:18" ht="14.25" customHeight="1" x14ac:dyDescent="0.3">
      <c r="A102" s="3" t="s">
        <v>161</v>
      </c>
      <c r="B102" s="3" t="s">
        <v>25</v>
      </c>
      <c r="C102" s="10">
        <v>45583</v>
      </c>
      <c r="D102" s="3" t="s">
        <v>59</v>
      </c>
      <c r="E102" s="3" t="s">
        <v>143</v>
      </c>
      <c r="F102" s="19">
        <v>4450</v>
      </c>
      <c r="G102" s="19">
        <v>983</v>
      </c>
      <c r="H102" s="19">
        <v>143</v>
      </c>
      <c r="I102" s="19">
        <v>75650</v>
      </c>
      <c r="J102" s="19">
        <v>75008</v>
      </c>
      <c r="K102" s="19">
        <v>12</v>
      </c>
      <c r="L102" s="19">
        <f t="shared" si="2"/>
        <v>5576</v>
      </c>
      <c r="M102" s="4" t="s">
        <v>51</v>
      </c>
      <c r="N102" s="3" t="s">
        <v>51</v>
      </c>
      <c r="O102" s="3"/>
      <c r="P102" s="10"/>
      <c r="Q102" s="3" t="s">
        <v>28</v>
      </c>
      <c r="R102" s="67">
        <f t="shared" si="3"/>
        <v>7.3707865168539333E-2</v>
      </c>
    </row>
    <row r="103" spans="1:18" ht="14.25" customHeight="1" x14ac:dyDescent="0.3">
      <c r="A103" s="3" t="s">
        <v>162</v>
      </c>
      <c r="B103" s="3" t="s">
        <v>14</v>
      </c>
      <c r="C103" s="10">
        <v>45553</v>
      </c>
      <c r="D103" s="3" t="s">
        <v>15</v>
      </c>
      <c r="E103" s="3" t="s">
        <v>16</v>
      </c>
      <c r="F103" s="19">
        <v>1000</v>
      </c>
      <c r="G103" s="19">
        <v>978</v>
      </c>
      <c r="H103" s="19">
        <v>162</v>
      </c>
      <c r="I103" s="19">
        <v>6000</v>
      </c>
      <c r="J103" s="19">
        <v>5221</v>
      </c>
      <c r="K103" s="19">
        <v>223</v>
      </c>
      <c r="L103" s="19">
        <f t="shared" si="2"/>
        <v>2140</v>
      </c>
      <c r="M103" s="4" t="s">
        <v>33</v>
      </c>
      <c r="N103" s="3" t="s">
        <v>33</v>
      </c>
      <c r="O103" s="3"/>
      <c r="P103" s="10"/>
      <c r="Q103" s="3" t="s">
        <v>23</v>
      </c>
      <c r="R103" s="67">
        <f t="shared" si="3"/>
        <v>0.35666666666666669</v>
      </c>
    </row>
    <row r="104" spans="1:18" ht="14.25" customHeight="1" x14ac:dyDescent="0.3">
      <c r="A104" s="3" t="s">
        <v>163</v>
      </c>
      <c r="B104" s="3" t="s">
        <v>38</v>
      </c>
      <c r="C104" s="10">
        <v>45454</v>
      </c>
      <c r="D104" s="3" t="s">
        <v>44</v>
      </c>
      <c r="E104" s="3" t="s">
        <v>49</v>
      </c>
      <c r="F104" s="19">
        <v>3689</v>
      </c>
      <c r="G104" s="19">
        <v>48</v>
      </c>
      <c r="H104" s="19">
        <v>306</v>
      </c>
      <c r="I104" s="19">
        <v>40579</v>
      </c>
      <c r="J104" s="19">
        <v>39588</v>
      </c>
      <c r="K104" s="19">
        <v>212</v>
      </c>
      <c r="L104" s="19">
        <f t="shared" si="2"/>
        <v>4043</v>
      </c>
      <c r="M104" s="4" t="s">
        <v>33</v>
      </c>
      <c r="N104" s="3" t="s">
        <v>33</v>
      </c>
      <c r="O104" s="3"/>
      <c r="P104" s="10"/>
      <c r="Q104" s="3" t="s">
        <v>23</v>
      </c>
      <c r="R104" s="67">
        <f t="shared" si="3"/>
        <v>9.9632815002833983E-2</v>
      </c>
    </row>
    <row r="105" spans="1:18" ht="14.25" customHeight="1" x14ac:dyDescent="0.3">
      <c r="A105" s="3" t="s">
        <v>164</v>
      </c>
      <c r="B105" s="3" t="s">
        <v>25</v>
      </c>
      <c r="C105" s="10">
        <v>45739</v>
      </c>
      <c r="D105" s="3" t="s">
        <v>31</v>
      </c>
      <c r="E105" s="3" t="s">
        <v>105</v>
      </c>
      <c r="F105" s="19">
        <v>3655</v>
      </c>
      <c r="G105" s="19">
        <v>568</v>
      </c>
      <c r="H105" s="19">
        <v>286</v>
      </c>
      <c r="I105" s="19">
        <v>32895</v>
      </c>
      <c r="J105" s="19">
        <v>32015</v>
      </c>
      <c r="K105" s="19">
        <v>199</v>
      </c>
      <c r="L105" s="19">
        <f t="shared" si="2"/>
        <v>4509</v>
      </c>
      <c r="M105" s="4" t="s">
        <v>27</v>
      </c>
      <c r="N105" s="3" t="s">
        <v>27</v>
      </c>
      <c r="O105" s="3"/>
      <c r="P105" s="10"/>
      <c r="Q105" s="3" t="s">
        <v>28</v>
      </c>
      <c r="R105" s="67">
        <f t="shared" si="3"/>
        <v>0.13707250341997265</v>
      </c>
    </row>
    <row r="106" spans="1:18" ht="14.25" customHeight="1" x14ac:dyDescent="0.3">
      <c r="A106" s="3" t="s">
        <v>165</v>
      </c>
      <c r="B106" s="3" t="s">
        <v>30</v>
      </c>
      <c r="C106" s="10">
        <v>45457</v>
      </c>
      <c r="D106" s="3" t="s">
        <v>39</v>
      </c>
      <c r="E106" s="3" t="s">
        <v>68</v>
      </c>
      <c r="F106" s="19">
        <v>498</v>
      </c>
      <c r="G106" s="19">
        <v>38</v>
      </c>
      <c r="H106" s="19">
        <v>42</v>
      </c>
      <c r="I106" s="19">
        <v>4482</v>
      </c>
      <c r="J106" s="19">
        <v>3647</v>
      </c>
      <c r="K106" s="19">
        <v>32</v>
      </c>
      <c r="L106" s="19">
        <f t="shared" si="2"/>
        <v>578</v>
      </c>
      <c r="M106" s="4" t="s">
        <v>51</v>
      </c>
      <c r="N106" s="3" t="s">
        <v>51</v>
      </c>
      <c r="O106" s="3"/>
      <c r="P106" s="10"/>
      <c r="Q106" s="3" t="s">
        <v>18</v>
      </c>
      <c r="R106" s="67">
        <f t="shared" si="3"/>
        <v>0.12896028558679162</v>
      </c>
    </row>
    <row r="107" spans="1:18" ht="14.25" customHeight="1" x14ac:dyDescent="0.3">
      <c r="A107" s="3" t="s">
        <v>166</v>
      </c>
      <c r="B107" s="3" t="s">
        <v>30</v>
      </c>
      <c r="C107" s="10">
        <v>45692</v>
      </c>
      <c r="D107" s="3" t="s">
        <v>44</v>
      </c>
      <c r="E107" s="3" t="s">
        <v>140</v>
      </c>
      <c r="F107" s="19">
        <v>4619</v>
      </c>
      <c r="G107" s="19">
        <v>821</v>
      </c>
      <c r="H107" s="19">
        <v>499</v>
      </c>
      <c r="I107" s="19">
        <v>69285</v>
      </c>
      <c r="J107" s="19">
        <v>69141</v>
      </c>
      <c r="K107" s="19">
        <v>298</v>
      </c>
      <c r="L107" s="19">
        <f t="shared" si="2"/>
        <v>5939</v>
      </c>
      <c r="M107" s="4" t="s">
        <v>27</v>
      </c>
      <c r="N107" s="3" t="s">
        <v>27</v>
      </c>
      <c r="O107" s="3"/>
      <c r="P107" s="10"/>
      <c r="Q107" s="3" t="s">
        <v>34</v>
      </c>
      <c r="R107" s="67">
        <f t="shared" si="3"/>
        <v>8.5718409468138843E-2</v>
      </c>
    </row>
    <row r="108" spans="1:18" ht="14.25" customHeight="1" x14ac:dyDescent="0.3">
      <c r="A108" s="3" t="s">
        <v>167</v>
      </c>
      <c r="B108" s="3" t="s">
        <v>25</v>
      </c>
      <c r="C108" s="10">
        <v>45464</v>
      </c>
      <c r="D108" s="3" t="s">
        <v>44</v>
      </c>
      <c r="E108" s="3" t="s">
        <v>45</v>
      </c>
      <c r="F108" s="19">
        <v>4832</v>
      </c>
      <c r="G108" s="19">
        <v>893</v>
      </c>
      <c r="H108" s="19">
        <v>10</v>
      </c>
      <c r="I108" s="19">
        <v>91808</v>
      </c>
      <c r="J108" s="19">
        <v>91296</v>
      </c>
      <c r="K108" s="19">
        <v>182</v>
      </c>
      <c r="L108" s="19">
        <f t="shared" si="2"/>
        <v>5735</v>
      </c>
      <c r="M108" s="4" t="s">
        <v>27</v>
      </c>
      <c r="N108" s="3" t="s">
        <v>27</v>
      </c>
      <c r="O108" s="3"/>
      <c r="P108" s="10"/>
      <c r="Q108" s="3" t="s">
        <v>397</v>
      </c>
      <c r="R108" s="67">
        <f t="shared" si="3"/>
        <v>6.2467323109097243E-2</v>
      </c>
    </row>
    <row r="109" spans="1:18" ht="14.25" customHeight="1" x14ac:dyDescent="0.3">
      <c r="A109" s="3" t="s">
        <v>168</v>
      </c>
      <c r="B109" s="3" t="s">
        <v>14</v>
      </c>
      <c r="C109" s="10">
        <v>45741</v>
      </c>
      <c r="D109" s="3" t="s">
        <v>59</v>
      </c>
      <c r="E109" s="3" t="s">
        <v>99</v>
      </c>
      <c r="F109" s="19">
        <v>4050</v>
      </c>
      <c r="G109" s="19">
        <v>871</v>
      </c>
      <c r="H109" s="19">
        <v>347</v>
      </c>
      <c r="I109" s="19">
        <v>52650</v>
      </c>
      <c r="J109" s="19">
        <v>51755</v>
      </c>
      <c r="K109" s="19">
        <v>209</v>
      </c>
      <c r="L109" s="19">
        <f t="shared" si="2"/>
        <v>5268</v>
      </c>
      <c r="M109" s="4" t="s">
        <v>27</v>
      </c>
      <c r="N109" s="3" t="s">
        <v>27</v>
      </c>
      <c r="O109" s="3"/>
      <c r="P109" s="10"/>
      <c r="Q109" s="3" t="s">
        <v>23</v>
      </c>
      <c r="R109" s="67">
        <f t="shared" si="3"/>
        <v>0.10005698005698006</v>
      </c>
    </row>
    <row r="110" spans="1:18" ht="14.25" customHeight="1" x14ac:dyDescent="0.3">
      <c r="A110" s="3" t="s">
        <v>169</v>
      </c>
      <c r="B110" s="3" t="s">
        <v>14</v>
      </c>
      <c r="C110" s="10">
        <v>45512</v>
      </c>
      <c r="D110" s="3" t="s">
        <v>31</v>
      </c>
      <c r="E110" s="3" t="s">
        <v>102</v>
      </c>
      <c r="F110" s="19">
        <v>3649</v>
      </c>
      <c r="G110" s="19">
        <v>215</v>
      </c>
      <c r="H110" s="19">
        <v>413</v>
      </c>
      <c r="I110" s="19">
        <v>25543</v>
      </c>
      <c r="J110" s="19">
        <v>24963</v>
      </c>
      <c r="K110" s="19">
        <v>167</v>
      </c>
      <c r="L110" s="19">
        <f t="shared" si="2"/>
        <v>4277</v>
      </c>
      <c r="M110" s="4" t="s">
        <v>51</v>
      </c>
      <c r="N110" s="3" t="s">
        <v>51</v>
      </c>
      <c r="O110" s="3"/>
      <c r="P110" s="10"/>
      <c r="Q110" s="3" t="s">
        <v>28</v>
      </c>
      <c r="R110" s="67">
        <f t="shared" si="3"/>
        <v>0.16744313510550835</v>
      </c>
    </row>
    <row r="111" spans="1:18" ht="14.25" customHeight="1" x14ac:dyDescent="0.3">
      <c r="A111" s="3" t="s">
        <v>170</v>
      </c>
      <c r="B111" s="3" t="s">
        <v>30</v>
      </c>
      <c r="C111" s="10">
        <v>45502</v>
      </c>
      <c r="D111" s="3" t="s">
        <v>15</v>
      </c>
      <c r="E111" s="3" t="s">
        <v>64</v>
      </c>
      <c r="F111" s="19">
        <v>3523</v>
      </c>
      <c r="G111" s="19">
        <v>753</v>
      </c>
      <c r="H111" s="19">
        <v>482</v>
      </c>
      <c r="I111" s="19">
        <v>38753</v>
      </c>
      <c r="J111" s="19">
        <v>38579</v>
      </c>
      <c r="K111" s="19">
        <v>270</v>
      </c>
      <c r="L111" s="19">
        <f t="shared" si="2"/>
        <v>4758</v>
      </c>
      <c r="M111" s="4" t="s">
        <v>33</v>
      </c>
      <c r="N111" s="3" t="s">
        <v>33</v>
      </c>
      <c r="O111" s="3"/>
      <c r="P111" s="10"/>
      <c r="Q111" s="3" t="s">
        <v>23</v>
      </c>
      <c r="R111" s="67">
        <f t="shared" si="3"/>
        <v>0.12277759141227776</v>
      </c>
    </row>
    <row r="112" spans="1:18" ht="14.25" customHeight="1" x14ac:dyDescent="0.3">
      <c r="A112" s="3" t="s">
        <v>171</v>
      </c>
      <c r="B112" s="3" t="s">
        <v>25</v>
      </c>
      <c r="C112" s="10">
        <v>45619</v>
      </c>
      <c r="D112" s="3" t="s">
        <v>44</v>
      </c>
      <c r="E112" s="3" t="s">
        <v>45</v>
      </c>
      <c r="F112" s="19">
        <v>2719</v>
      </c>
      <c r="G112" s="19">
        <v>17</v>
      </c>
      <c r="H112" s="19">
        <v>285</v>
      </c>
      <c r="I112" s="19">
        <v>40785</v>
      </c>
      <c r="J112" s="19">
        <v>40281</v>
      </c>
      <c r="K112" s="19">
        <v>40</v>
      </c>
      <c r="L112" s="19">
        <f t="shared" si="2"/>
        <v>3021</v>
      </c>
      <c r="M112" s="4" t="s">
        <v>27</v>
      </c>
      <c r="N112" s="3" t="s">
        <v>27</v>
      </c>
      <c r="O112" s="3"/>
      <c r="P112" s="10"/>
      <c r="Q112" s="3" t="s">
        <v>23</v>
      </c>
      <c r="R112" s="67">
        <f t="shared" si="3"/>
        <v>7.4071349760941527E-2</v>
      </c>
    </row>
    <row r="113" spans="1:18" ht="14.25" customHeight="1" x14ac:dyDescent="0.3">
      <c r="A113" s="3" t="s">
        <v>172</v>
      </c>
      <c r="B113" s="3" t="s">
        <v>14</v>
      </c>
      <c r="C113" s="10">
        <v>45570</v>
      </c>
      <c r="D113" s="3" t="s">
        <v>31</v>
      </c>
      <c r="E113" s="3" t="s">
        <v>102</v>
      </c>
      <c r="F113" s="19">
        <v>1957</v>
      </c>
      <c r="G113" s="19">
        <v>877</v>
      </c>
      <c r="H113" s="19">
        <v>238</v>
      </c>
      <c r="I113" s="19">
        <v>17613</v>
      </c>
      <c r="J113" s="19">
        <v>16865</v>
      </c>
      <c r="K113" s="19">
        <v>297</v>
      </c>
      <c r="L113" s="19">
        <f t="shared" si="2"/>
        <v>3072</v>
      </c>
      <c r="M113" s="4" t="s">
        <v>51</v>
      </c>
      <c r="N113" s="3" t="s">
        <v>51</v>
      </c>
      <c r="O113" s="3"/>
      <c r="P113" s="10"/>
      <c r="Q113" s="3" t="s">
        <v>28</v>
      </c>
      <c r="R113" s="67">
        <f t="shared" si="3"/>
        <v>0.17441662408448305</v>
      </c>
    </row>
    <row r="114" spans="1:18" ht="14.25" customHeight="1" x14ac:dyDescent="0.3">
      <c r="A114" s="3" t="s">
        <v>173</v>
      </c>
      <c r="B114" s="3" t="s">
        <v>14</v>
      </c>
      <c r="C114" s="10">
        <v>45567</v>
      </c>
      <c r="D114" s="3" t="s">
        <v>39</v>
      </c>
      <c r="E114" s="3" t="s">
        <v>42</v>
      </c>
      <c r="F114" s="19">
        <v>4419</v>
      </c>
      <c r="G114" s="19">
        <v>236</v>
      </c>
      <c r="H114" s="19">
        <v>369</v>
      </c>
      <c r="I114" s="19">
        <v>44190</v>
      </c>
      <c r="J114" s="19">
        <v>43582</v>
      </c>
      <c r="K114" s="19">
        <v>10</v>
      </c>
      <c r="L114" s="19">
        <f t="shared" si="2"/>
        <v>5024</v>
      </c>
      <c r="M114" s="4" t="s">
        <v>33</v>
      </c>
      <c r="N114" s="3" t="s">
        <v>33</v>
      </c>
      <c r="O114" s="3"/>
      <c r="P114" s="10"/>
      <c r="Q114" s="3" t="s">
        <v>18</v>
      </c>
      <c r="R114" s="67">
        <f t="shared" si="3"/>
        <v>0.11369088028965829</v>
      </c>
    </row>
    <row r="115" spans="1:18" ht="14.25" customHeight="1" x14ac:dyDescent="0.3">
      <c r="A115" s="3" t="s">
        <v>174</v>
      </c>
      <c r="B115" s="3" t="s">
        <v>14</v>
      </c>
      <c r="C115" s="10">
        <v>45610</v>
      </c>
      <c r="D115" s="3" t="s">
        <v>31</v>
      </c>
      <c r="E115" s="3" t="s">
        <v>102</v>
      </c>
      <c r="F115" s="19">
        <v>4000</v>
      </c>
      <c r="G115" s="19">
        <v>689</v>
      </c>
      <c r="H115" s="19">
        <v>488</v>
      </c>
      <c r="I115" s="19">
        <v>40000</v>
      </c>
      <c r="J115" s="19">
        <v>39569</v>
      </c>
      <c r="K115" s="19">
        <v>44</v>
      </c>
      <c r="L115" s="19">
        <f t="shared" si="2"/>
        <v>5177</v>
      </c>
      <c r="M115" s="4" t="s">
        <v>51</v>
      </c>
      <c r="N115" s="3" t="s">
        <v>51</v>
      </c>
      <c r="O115" s="3"/>
      <c r="P115" s="10"/>
      <c r="Q115" s="3" t="s">
        <v>18</v>
      </c>
      <c r="R115" s="67">
        <f t="shared" si="3"/>
        <v>0.12942500000000001</v>
      </c>
    </row>
    <row r="116" spans="1:18" ht="14.25" customHeight="1" x14ac:dyDescent="0.3">
      <c r="A116" s="3" t="s">
        <v>175</v>
      </c>
      <c r="B116" s="3" t="s">
        <v>14</v>
      </c>
      <c r="C116" s="10">
        <v>45788</v>
      </c>
      <c r="D116" s="3" t="s">
        <v>44</v>
      </c>
      <c r="E116" s="3" t="s">
        <v>92</v>
      </c>
      <c r="F116" s="19">
        <v>2493</v>
      </c>
      <c r="G116" s="19">
        <v>97</v>
      </c>
      <c r="H116" s="19">
        <v>44</v>
      </c>
      <c r="I116" s="19">
        <v>42381</v>
      </c>
      <c r="J116" s="19">
        <v>41991</v>
      </c>
      <c r="K116" s="19">
        <v>242</v>
      </c>
      <c r="L116" s="19">
        <f t="shared" si="2"/>
        <v>2634</v>
      </c>
      <c r="M116" s="4" t="s">
        <v>72</v>
      </c>
      <c r="N116" s="3" t="s">
        <v>27</v>
      </c>
      <c r="O116" s="3" t="s">
        <v>392</v>
      </c>
      <c r="P116" s="10"/>
      <c r="Q116" s="3" t="s">
        <v>34</v>
      </c>
      <c r="R116" s="67">
        <f t="shared" si="3"/>
        <v>6.2150491965739366E-2</v>
      </c>
    </row>
    <row r="117" spans="1:18" ht="14.25" customHeight="1" x14ac:dyDescent="0.3">
      <c r="A117" s="3" t="s">
        <v>176</v>
      </c>
      <c r="B117" s="3" t="s">
        <v>25</v>
      </c>
      <c r="C117" s="10">
        <v>45734</v>
      </c>
      <c r="D117" s="3" t="s">
        <v>15</v>
      </c>
      <c r="E117" s="3" t="s">
        <v>26</v>
      </c>
      <c r="F117" s="19">
        <v>3704</v>
      </c>
      <c r="G117" s="19">
        <v>186</v>
      </c>
      <c r="H117" s="19">
        <v>458</v>
      </c>
      <c r="I117" s="19">
        <v>25928</v>
      </c>
      <c r="J117" s="19">
        <v>25081</v>
      </c>
      <c r="K117" s="19">
        <v>131</v>
      </c>
      <c r="L117" s="19">
        <f t="shared" si="2"/>
        <v>4348</v>
      </c>
      <c r="M117" s="4" t="s">
        <v>27</v>
      </c>
      <c r="N117" s="3" t="s">
        <v>27</v>
      </c>
      <c r="O117" s="3"/>
      <c r="P117" s="10"/>
      <c r="Q117" s="3" t="s">
        <v>397</v>
      </c>
      <c r="R117" s="67">
        <f t="shared" si="3"/>
        <v>0.16769515581610614</v>
      </c>
    </row>
    <row r="118" spans="1:18" ht="14.25" customHeight="1" x14ac:dyDescent="0.3">
      <c r="A118" s="3" t="s">
        <v>177</v>
      </c>
      <c r="B118" s="3" t="s">
        <v>14</v>
      </c>
      <c r="C118" s="10">
        <v>45600</v>
      </c>
      <c r="D118" s="3" t="s">
        <v>44</v>
      </c>
      <c r="E118" s="3" t="s">
        <v>92</v>
      </c>
      <c r="F118" s="19">
        <v>1606</v>
      </c>
      <c r="G118" s="19">
        <v>451</v>
      </c>
      <c r="H118" s="19">
        <v>405</v>
      </c>
      <c r="I118" s="19">
        <v>20878</v>
      </c>
      <c r="J118" s="19">
        <v>20190</v>
      </c>
      <c r="K118" s="19">
        <v>219</v>
      </c>
      <c r="L118" s="19">
        <f t="shared" si="2"/>
        <v>2462</v>
      </c>
      <c r="M118" s="4" t="s">
        <v>33</v>
      </c>
      <c r="N118" s="3" t="s">
        <v>33</v>
      </c>
      <c r="O118" s="3"/>
      <c r="P118" s="10"/>
      <c r="Q118" s="3" t="s">
        <v>34</v>
      </c>
      <c r="R118" s="67">
        <f t="shared" si="3"/>
        <v>0.11792317271769326</v>
      </c>
    </row>
    <row r="119" spans="1:18" ht="14.25" customHeight="1" x14ac:dyDescent="0.3">
      <c r="A119" s="3" t="s">
        <v>178</v>
      </c>
      <c r="B119" s="3" t="s">
        <v>38</v>
      </c>
      <c r="C119" s="10">
        <v>45600</v>
      </c>
      <c r="D119" s="3" t="s">
        <v>44</v>
      </c>
      <c r="E119" s="3" t="s">
        <v>49</v>
      </c>
      <c r="F119" s="19">
        <v>4551</v>
      </c>
      <c r="G119" s="19">
        <v>714</v>
      </c>
      <c r="H119" s="19">
        <v>207</v>
      </c>
      <c r="I119" s="19">
        <v>68265</v>
      </c>
      <c r="J119" s="19">
        <v>67754</v>
      </c>
      <c r="K119" s="19">
        <v>57</v>
      </c>
      <c r="L119" s="19">
        <f t="shared" si="2"/>
        <v>5472</v>
      </c>
      <c r="M119" s="4" t="s">
        <v>51</v>
      </c>
      <c r="N119" s="3" t="s">
        <v>51</v>
      </c>
      <c r="O119" s="3"/>
      <c r="P119" s="10"/>
      <c r="Q119" s="3" t="s">
        <v>28</v>
      </c>
      <c r="R119" s="67">
        <f t="shared" si="3"/>
        <v>8.0158206987475278E-2</v>
      </c>
    </row>
    <row r="120" spans="1:18" ht="14.25" customHeight="1" x14ac:dyDescent="0.3">
      <c r="A120" s="3" t="s">
        <v>179</v>
      </c>
      <c r="B120" s="3" t="s">
        <v>30</v>
      </c>
      <c r="C120" s="10">
        <v>45695</v>
      </c>
      <c r="D120" s="3" t="s">
        <v>15</v>
      </c>
      <c r="E120" s="3" t="s">
        <v>64</v>
      </c>
      <c r="F120" s="19">
        <v>1970</v>
      </c>
      <c r="G120" s="19">
        <v>675</v>
      </c>
      <c r="H120" s="19">
        <v>478</v>
      </c>
      <c r="I120" s="19">
        <v>9850</v>
      </c>
      <c r="J120" s="19">
        <v>8924</v>
      </c>
      <c r="K120" s="19">
        <v>117</v>
      </c>
      <c r="L120" s="19">
        <f t="shared" si="2"/>
        <v>3123</v>
      </c>
      <c r="M120" s="4" t="s">
        <v>51</v>
      </c>
      <c r="N120" s="3" t="s">
        <v>51</v>
      </c>
      <c r="O120" s="3"/>
      <c r="P120" s="10"/>
      <c r="Q120" s="3" t="s">
        <v>397</v>
      </c>
      <c r="R120" s="67">
        <f t="shared" si="3"/>
        <v>0.31705583756345179</v>
      </c>
    </row>
    <row r="121" spans="1:18" ht="14.25" customHeight="1" x14ac:dyDescent="0.3">
      <c r="A121" s="3" t="s">
        <v>180</v>
      </c>
      <c r="B121" s="3" t="s">
        <v>38</v>
      </c>
      <c r="C121" s="10">
        <v>45586</v>
      </c>
      <c r="D121" s="3" t="s">
        <v>31</v>
      </c>
      <c r="E121" s="3" t="s">
        <v>57</v>
      </c>
      <c r="F121" s="19">
        <v>780</v>
      </c>
      <c r="G121" s="19">
        <v>928</v>
      </c>
      <c r="H121" s="19">
        <v>301</v>
      </c>
      <c r="I121" s="19">
        <v>8580</v>
      </c>
      <c r="J121" s="19">
        <v>8081</v>
      </c>
      <c r="K121" s="19">
        <v>91</v>
      </c>
      <c r="L121" s="19">
        <f t="shared" si="2"/>
        <v>2009</v>
      </c>
      <c r="M121" s="4" t="s">
        <v>33</v>
      </c>
      <c r="N121" s="3" t="s">
        <v>33</v>
      </c>
      <c r="O121" s="3"/>
      <c r="P121" s="10"/>
      <c r="Q121" s="3" t="s">
        <v>28</v>
      </c>
      <c r="R121" s="67">
        <f t="shared" si="3"/>
        <v>0.23414918414918415</v>
      </c>
    </row>
    <row r="122" spans="1:18" ht="14.25" customHeight="1" x14ac:dyDescent="0.3">
      <c r="A122" s="3" t="s">
        <v>181</v>
      </c>
      <c r="B122" s="3" t="s">
        <v>30</v>
      </c>
      <c r="C122" s="10">
        <v>45502</v>
      </c>
      <c r="D122" s="3" t="s">
        <v>31</v>
      </c>
      <c r="E122" s="3" t="s">
        <v>32</v>
      </c>
      <c r="F122" s="19">
        <v>498</v>
      </c>
      <c r="G122" s="19">
        <v>701</v>
      </c>
      <c r="H122" s="19">
        <v>412</v>
      </c>
      <c r="I122" s="19">
        <v>4980</v>
      </c>
      <c r="J122" s="19">
        <v>4185</v>
      </c>
      <c r="K122" s="19">
        <v>185</v>
      </c>
      <c r="L122" s="19">
        <f t="shared" si="2"/>
        <v>1611</v>
      </c>
      <c r="M122" s="4" t="s">
        <v>51</v>
      </c>
      <c r="N122" s="3" t="s">
        <v>51</v>
      </c>
      <c r="O122" s="3"/>
      <c r="P122" s="10"/>
      <c r="Q122" s="3" t="s">
        <v>397</v>
      </c>
      <c r="R122" s="67">
        <f t="shared" si="3"/>
        <v>0.32349397590361445</v>
      </c>
    </row>
    <row r="123" spans="1:18" ht="14.25" customHeight="1" x14ac:dyDescent="0.3">
      <c r="A123" s="3" t="s">
        <v>182</v>
      </c>
      <c r="B123" s="3" t="s">
        <v>30</v>
      </c>
      <c r="C123" s="10">
        <v>45567</v>
      </c>
      <c r="D123" s="3" t="s">
        <v>20</v>
      </c>
      <c r="E123" s="3" t="s">
        <v>82</v>
      </c>
      <c r="F123" s="19">
        <v>3432</v>
      </c>
      <c r="G123" s="19">
        <v>869</v>
      </c>
      <c r="H123" s="19">
        <v>123</v>
      </c>
      <c r="I123" s="19">
        <v>54912</v>
      </c>
      <c r="J123" s="19">
        <v>53916</v>
      </c>
      <c r="K123" s="19">
        <v>264</v>
      </c>
      <c r="L123" s="19">
        <f t="shared" si="2"/>
        <v>4424</v>
      </c>
      <c r="M123" s="4" t="s">
        <v>33</v>
      </c>
      <c r="N123" s="3" t="s">
        <v>33</v>
      </c>
      <c r="O123" s="3"/>
      <c r="P123" s="10"/>
      <c r="Q123" s="3" t="s">
        <v>23</v>
      </c>
      <c r="R123" s="67">
        <f t="shared" si="3"/>
        <v>8.0565268065268064E-2</v>
      </c>
    </row>
    <row r="124" spans="1:18" ht="14.25" customHeight="1" x14ac:dyDescent="0.3">
      <c r="A124" s="3" t="s">
        <v>183</v>
      </c>
      <c r="B124" s="3" t="s">
        <v>30</v>
      </c>
      <c r="C124" s="10">
        <v>45457</v>
      </c>
      <c r="D124" s="3" t="s">
        <v>31</v>
      </c>
      <c r="E124" s="3" t="s">
        <v>32</v>
      </c>
      <c r="F124" s="19">
        <v>4363</v>
      </c>
      <c r="G124" s="19">
        <v>649</v>
      </c>
      <c r="H124" s="19">
        <v>140</v>
      </c>
      <c r="I124" s="19">
        <v>21815</v>
      </c>
      <c r="J124" s="19">
        <v>21481</v>
      </c>
      <c r="K124" s="19">
        <v>157</v>
      </c>
      <c r="L124" s="19">
        <f t="shared" si="2"/>
        <v>5152</v>
      </c>
      <c r="M124" s="4" t="s">
        <v>33</v>
      </c>
      <c r="N124" s="3" t="s">
        <v>33</v>
      </c>
      <c r="O124" s="3"/>
      <c r="P124" s="10"/>
      <c r="Q124" s="3" t="s">
        <v>18</v>
      </c>
      <c r="R124" s="67">
        <f t="shared" si="3"/>
        <v>0.23616777446710979</v>
      </c>
    </row>
    <row r="125" spans="1:18" ht="14.25" customHeight="1" x14ac:dyDescent="0.3">
      <c r="A125" s="3" t="s">
        <v>184</v>
      </c>
      <c r="B125" s="3" t="s">
        <v>25</v>
      </c>
      <c r="C125" s="10">
        <v>45753</v>
      </c>
      <c r="D125" s="3" t="s">
        <v>39</v>
      </c>
      <c r="E125" s="3" t="s">
        <v>55</v>
      </c>
      <c r="F125" s="19">
        <v>736</v>
      </c>
      <c r="G125" s="19">
        <v>771</v>
      </c>
      <c r="H125" s="19">
        <v>225</v>
      </c>
      <c r="I125" s="19">
        <v>5152</v>
      </c>
      <c r="J125" s="19">
        <v>4706</v>
      </c>
      <c r="K125" s="19">
        <v>19</v>
      </c>
      <c r="L125" s="19">
        <f t="shared" si="2"/>
        <v>1732</v>
      </c>
      <c r="M125" s="4" t="s">
        <v>33</v>
      </c>
      <c r="N125" s="3" t="s">
        <v>33</v>
      </c>
      <c r="O125" s="3"/>
      <c r="P125" s="10"/>
      <c r="Q125" s="3" t="s">
        <v>18</v>
      </c>
      <c r="R125" s="67">
        <f t="shared" si="3"/>
        <v>0.33618012422360249</v>
      </c>
    </row>
    <row r="126" spans="1:18" ht="14.25" customHeight="1" x14ac:dyDescent="0.3">
      <c r="A126" s="3" t="s">
        <v>185</v>
      </c>
      <c r="B126" s="3" t="s">
        <v>14</v>
      </c>
      <c r="C126" s="10">
        <v>45543</v>
      </c>
      <c r="D126" s="3" t="s">
        <v>39</v>
      </c>
      <c r="E126" s="3" t="s">
        <v>42</v>
      </c>
      <c r="F126" s="19">
        <v>3811</v>
      </c>
      <c r="G126" s="19">
        <v>866</v>
      </c>
      <c r="H126" s="19">
        <v>216</v>
      </c>
      <c r="I126" s="19">
        <v>34299</v>
      </c>
      <c r="J126" s="19">
        <v>34088</v>
      </c>
      <c r="K126" s="19">
        <v>233</v>
      </c>
      <c r="L126" s="19">
        <f t="shared" si="2"/>
        <v>4893</v>
      </c>
      <c r="M126" s="4" t="s">
        <v>27</v>
      </c>
      <c r="N126" s="3" t="s">
        <v>27</v>
      </c>
      <c r="O126" s="3"/>
      <c r="P126" s="10"/>
      <c r="Q126" s="3" t="s">
        <v>34</v>
      </c>
      <c r="R126" s="67">
        <f t="shared" si="3"/>
        <v>0.14265722032712325</v>
      </c>
    </row>
    <row r="127" spans="1:18" ht="14.25" customHeight="1" x14ac:dyDescent="0.3">
      <c r="A127" s="3" t="s">
        <v>186</v>
      </c>
      <c r="B127" s="3" t="s">
        <v>30</v>
      </c>
      <c r="C127" s="10">
        <v>45744</v>
      </c>
      <c r="D127" s="3" t="s">
        <v>39</v>
      </c>
      <c r="E127" s="3" t="s">
        <v>68</v>
      </c>
      <c r="F127" s="19">
        <v>4158</v>
      </c>
      <c r="G127" s="19">
        <v>167</v>
      </c>
      <c r="H127" s="19">
        <v>241</v>
      </c>
      <c r="I127" s="19">
        <v>45738</v>
      </c>
      <c r="J127" s="19">
        <v>45183</v>
      </c>
      <c r="K127" s="19">
        <v>142</v>
      </c>
      <c r="L127" s="19">
        <f t="shared" si="2"/>
        <v>4566</v>
      </c>
      <c r="M127" s="4" t="s">
        <v>51</v>
      </c>
      <c r="N127" s="3" t="s">
        <v>51</v>
      </c>
      <c r="O127" s="3"/>
      <c r="P127" s="10"/>
      <c r="Q127" s="3" t="s">
        <v>397</v>
      </c>
      <c r="R127" s="67">
        <f t="shared" si="3"/>
        <v>9.9829463465827106E-2</v>
      </c>
    </row>
    <row r="128" spans="1:18" ht="14.25" customHeight="1" x14ac:dyDescent="0.3">
      <c r="A128" s="3" t="s">
        <v>187</v>
      </c>
      <c r="B128" s="3" t="s">
        <v>38</v>
      </c>
      <c r="C128" s="10">
        <v>45684</v>
      </c>
      <c r="D128" s="3" t="s">
        <v>15</v>
      </c>
      <c r="E128" s="3" t="s">
        <v>53</v>
      </c>
      <c r="F128" s="19">
        <v>3452</v>
      </c>
      <c r="G128" s="19">
        <v>652</v>
      </c>
      <c r="H128" s="19">
        <v>442</v>
      </c>
      <c r="I128" s="19">
        <v>65588</v>
      </c>
      <c r="J128" s="19">
        <v>65049</v>
      </c>
      <c r="K128" s="19">
        <v>158</v>
      </c>
      <c r="L128" s="19">
        <f t="shared" si="2"/>
        <v>4546</v>
      </c>
      <c r="M128" s="4" t="s">
        <v>51</v>
      </c>
      <c r="N128" s="3" t="s">
        <v>51</v>
      </c>
      <c r="O128" s="3"/>
      <c r="P128" s="10"/>
      <c r="Q128" s="3" t="s">
        <v>28</v>
      </c>
      <c r="R128" s="67">
        <f t="shared" si="3"/>
        <v>6.9311459413307311E-2</v>
      </c>
    </row>
    <row r="129" spans="1:18" ht="14.25" customHeight="1" x14ac:dyDescent="0.3">
      <c r="A129" s="3" t="s">
        <v>188</v>
      </c>
      <c r="B129" s="3" t="s">
        <v>14</v>
      </c>
      <c r="C129" s="10">
        <v>45667</v>
      </c>
      <c r="D129" s="3" t="s">
        <v>44</v>
      </c>
      <c r="E129" s="3" t="s">
        <v>92</v>
      </c>
      <c r="F129" s="19">
        <v>3092</v>
      </c>
      <c r="G129" s="19">
        <v>106</v>
      </c>
      <c r="H129" s="19">
        <v>291</v>
      </c>
      <c r="I129" s="19">
        <v>27828</v>
      </c>
      <c r="J129" s="19">
        <v>27217</v>
      </c>
      <c r="K129" s="19">
        <v>102</v>
      </c>
      <c r="L129" s="19">
        <f t="shared" si="2"/>
        <v>3489</v>
      </c>
      <c r="M129" s="4" t="s">
        <v>51</v>
      </c>
      <c r="N129" s="3" t="s">
        <v>51</v>
      </c>
      <c r="O129" s="3"/>
      <c r="P129" s="10"/>
      <c r="Q129" s="3" t="s">
        <v>397</v>
      </c>
      <c r="R129" s="67">
        <f t="shared" si="3"/>
        <v>0.12537731780940059</v>
      </c>
    </row>
    <row r="130" spans="1:18" ht="14.25" customHeight="1" x14ac:dyDescent="0.3">
      <c r="A130" s="3" t="s">
        <v>189</v>
      </c>
      <c r="B130" s="3" t="s">
        <v>14</v>
      </c>
      <c r="C130" s="10">
        <v>45494</v>
      </c>
      <c r="D130" s="3" t="s">
        <v>20</v>
      </c>
      <c r="E130" s="3" t="s">
        <v>21</v>
      </c>
      <c r="F130" s="19">
        <v>2147</v>
      </c>
      <c r="G130" s="19">
        <v>430</v>
      </c>
      <c r="H130" s="19">
        <v>393</v>
      </c>
      <c r="I130" s="19">
        <v>17176</v>
      </c>
      <c r="J130" s="19">
        <v>16483</v>
      </c>
      <c r="K130" s="19">
        <v>170</v>
      </c>
      <c r="L130" s="19">
        <f t="shared" si="2"/>
        <v>2970</v>
      </c>
      <c r="M130" s="4" t="s">
        <v>27</v>
      </c>
      <c r="N130" s="3" t="s">
        <v>27</v>
      </c>
      <c r="O130" s="3"/>
      <c r="P130" s="10"/>
      <c r="Q130" s="3" t="s">
        <v>397</v>
      </c>
      <c r="R130" s="67">
        <f t="shared" si="3"/>
        <v>0.17291569632044715</v>
      </c>
    </row>
    <row r="131" spans="1:18" ht="14.25" customHeight="1" x14ac:dyDescent="0.3">
      <c r="A131" s="3" t="s">
        <v>190</v>
      </c>
      <c r="B131" s="3" t="s">
        <v>25</v>
      </c>
      <c r="C131" s="10">
        <v>45564</v>
      </c>
      <c r="D131" s="3" t="s">
        <v>15</v>
      </c>
      <c r="E131" s="3" t="s">
        <v>26</v>
      </c>
      <c r="F131" s="19">
        <v>2936</v>
      </c>
      <c r="G131" s="19">
        <v>439</v>
      </c>
      <c r="H131" s="19">
        <v>44</v>
      </c>
      <c r="I131" s="19">
        <v>38168</v>
      </c>
      <c r="J131" s="19">
        <v>37571</v>
      </c>
      <c r="K131" s="19">
        <v>22</v>
      </c>
      <c r="L131" s="19">
        <f t="shared" ref="L131:L194" si="4">SUM($F131:$H131)</f>
        <v>3419</v>
      </c>
      <c r="M131" s="4" t="s">
        <v>33</v>
      </c>
      <c r="N131" s="3" t="s">
        <v>33</v>
      </c>
      <c r="O131" s="3"/>
      <c r="P131" s="10"/>
      <c r="Q131" s="3" t="s">
        <v>34</v>
      </c>
      <c r="R131" s="67">
        <f t="shared" ref="R131:R194" si="5">SUM(F131:H131)/I131</f>
        <v>8.9577656675749323E-2</v>
      </c>
    </row>
    <row r="132" spans="1:18" ht="14.25" customHeight="1" x14ac:dyDescent="0.3">
      <c r="A132" s="3" t="s">
        <v>191</v>
      </c>
      <c r="B132" s="3" t="s">
        <v>30</v>
      </c>
      <c r="C132" s="10">
        <v>45586</v>
      </c>
      <c r="D132" s="3" t="s">
        <v>15</v>
      </c>
      <c r="E132" s="3" t="s">
        <v>64</v>
      </c>
      <c r="F132" s="19">
        <v>4840</v>
      </c>
      <c r="G132" s="19">
        <v>658</v>
      </c>
      <c r="H132" s="19">
        <v>211</v>
      </c>
      <c r="I132" s="19">
        <v>43560</v>
      </c>
      <c r="J132" s="19">
        <v>43225</v>
      </c>
      <c r="K132" s="19">
        <v>57</v>
      </c>
      <c r="L132" s="19">
        <f t="shared" si="4"/>
        <v>5709</v>
      </c>
      <c r="M132" s="4" t="s">
        <v>51</v>
      </c>
      <c r="N132" s="3" t="s">
        <v>51</v>
      </c>
      <c r="O132" s="3"/>
      <c r="P132" s="10"/>
      <c r="Q132" s="3" t="s">
        <v>28</v>
      </c>
      <c r="R132" s="67">
        <f t="shared" si="5"/>
        <v>0.13106060606060607</v>
      </c>
    </row>
    <row r="133" spans="1:18" ht="14.25" customHeight="1" x14ac:dyDescent="0.3">
      <c r="A133" s="3" t="s">
        <v>192</v>
      </c>
      <c r="B133" s="3" t="s">
        <v>30</v>
      </c>
      <c r="C133" s="10">
        <v>45720</v>
      </c>
      <c r="D133" s="3" t="s">
        <v>31</v>
      </c>
      <c r="E133" s="3" t="s">
        <v>32</v>
      </c>
      <c r="F133" s="19">
        <v>1947</v>
      </c>
      <c r="G133" s="19">
        <v>842</v>
      </c>
      <c r="H133" s="19">
        <v>101</v>
      </c>
      <c r="I133" s="19">
        <v>21417</v>
      </c>
      <c r="J133" s="19">
        <v>20967</v>
      </c>
      <c r="K133" s="19">
        <v>186</v>
      </c>
      <c r="L133" s="19">
        <f t="shared" si="4"/>
        <v>2890</v>
      </c>
      <c r="M133" s="4" t="s">
        <v>51</v>
      </c>
      <c r="N133" s="3" t="s">
        <v>51</v>
      </c>
      <c r="O133" s="3"/>
      <c r="P133" s="10"/>
      <c r="Q133" s="3" t="s">
        <v>23</v>
      </c>
      <c r="R133" s="67">
        <f t="shared" si="5"/>
        <v>0.13493953401503478</v>
      </c>
    </row>
    <row r="134" spans="1:18" ht="14.25" customHeight="1" x14ac:dyDescent="0.3">
      <c r="A134" s="3" t="s">
        <v>193</v>
      </c>
      <c r="B134" s="3" t="s">
        <v>38</v>
      </c>
      <c r="C134" s="10">
        <v>45694</v>
      </c>
      <c r="D134" s="3" t="s">
        <v>44</v>
      </c>
      <c r="E134" s="3" t="s">
        <v>49</v>
      </c>
      <c r="F134" s="19">
        <v>2072</v>
      </c>
      <c r="G134" s="19">
        <v>532</v>
      </c>
      <c r="H134" s="19">
        <v>71</v>
      </c>
      <c r="I134" s="19">
        <v>37296</v>
      </c>
      <c r="J134" s="19">
        <v>36467</v>
      </c>
      <c r="K134" s="19">
        <v>25</v>
      </c>
      <c r="L134" s="19">
        <f t="shared" si="4"/>
        <v>2675</v>
      </c>
      <c r="M134" s="4" t="s">
        <v>27</v>
      </c>
      <c r="N134" s="3" t="s">
        <v>27</v>
      </c>
      <c r="O134" s="3"/>
      <c r="P134" s="10"/>
      <c r="Q134" s="3" t="s">
        <v>34</v>
      </c>
      <c r="R134" s="67">
        <f t="shared" si="5"/>
        <v>7.172350922350923E-2</v>
      </c>
    </row>
    <row r="135" spans="1:18" ht="14.25" customHeight="1" x14ac:dyDescent="0.3">
      <c r="A135" s="3" t="s">
        <v>194</v>
      </c>
      <c r="B135" s="3" t="s">
        <v>14</v>
      </c>
      <c r="C135" s="10">
        <v>45771</v>
      </c>
      <c r="D135" s="3" t="s">
        <v>15</v>
      </c>
      <c r="E135" s="3" t="s">
        <v>16</v>
      </c>
      <c r="F135" s="19">
        <v>3731</v>
      </c>
      <c r="G135" s="19">
        <v>115</v>
      </c>
      <c r="H135" s="19">
        <v>135</v>
      </c>
      <c r="I135" s="19">
        <v>55965</v>
      </c>
      <c r="J135" s="19">
        <v>55436</v>
      </c>
      <c r="K135" s="19">
        <v>103</v>
      </c>
      <c r="L135" s="19">
        <f t="shared" si="4"/>
        <v>3981</v>
      </c>
      <c r="M135" s="4" t="s">
        <v>27</v>
      </c>
      <c r="N135" s="3" t="s">
        <v>27</v>
      </c>
      <c r="O135" s="3"/>
      <c r="P135" s="10"/>
      <c r="Q135" s="3" t="s">
        <v>18</v>
      </c>
      <c r="R135" s="67">
        <f t="shared" si="5"/>
        <v>7.1133744304476013E-2</v>
      </c>
    </row>
    <row r="136" spans="1:18" ht="14.25" customHeight="1" x14ac:dyDescent="0.3">
      <c r="A136" s="3" t="s">
        <v>195</v>
      </c>
      <c r="B136" s="3" t="s">
        <v>38</v>
      </c>
      <c r="C136" s="10">
        <v>45624</v>
      </c>
      <c r="D136" s="3" t="s">
        <v>20</v>
      </c>
      <c r="E136" s="3" t="s">
        <v>47</v>
      </c>
      <c r="F136" s="19">
        <v>4213</v>
      </c>
      <c r="G136" s="19">
        <v>253</v>
      </c>
      <c r="H136" s="19">
        <v>434</v>
      </c>
      <c r="I136" s="19">
        <v>75834</v>
      </c>
      <c r="J136" s="19">
        <v>75437</v>
      </c>
      <c r="K136" s="19">
        <v>272</v>
      </c>
      <c r="L136" s="19">
        <f t="shared" si="4"/>
        <v>4900</v>
      </c>
      <c r="M136" s="4" t="s">
        <v>51</v>
      </c>
      <c r="N136" s="3" t="s">
        <v>51</v>
      </c>
      <c r="O136" s="3"/>
      <c r="P136" s="10"/>
      <c r="Q136" s="3" t="s">
        <v>34</v>
      </c>
      <c r="R136" s="67">
        <f t="shared" si="5"/>
        <v>6.461481657304112E-2</v>
      </c>
    </row>
    <row r="137" spans="1:18" ht="14.25" customHeight="1" x14ac:dyDescent="0.3">
      <c r="A137" s="3" t="s">
        <v>196</v>
      </c>
      <c r="B137" s="3" t="s">
        <v>30</v>
      </c>
      <c r="C137" s="10">
        <v>45484</v>
      </c>
      <c r="D137" s="3" t="s">
        <v>20</v>
      </c>
      <c r="E137" s="3" t="s">
        <v>82</v>
      </c>
      <c r="F137" s="19">
        <v>3134</v>
      </c>
      <c r="G137" s="19">
        <v>888</v>
      </c>
      <c r="H137" s="19">
        <v>444</v>
      </c>
      <c r="I137" s="19">
        <v>21938</v>
      </c>
      <c r="J137" s="19">
        <v>21337</v>
      </c>
      <c r="K137" s="19">
        <v>130</v>
      </c>
      <c r="L137" s="19">
        <f t="shared" si="4"/>
        <v>4466</v>
      </c>
      <c r="M137" s="4" t="s">
        <v>33</v>
      </c>
      <c r="N137" s="3" t="s">
        <v>33</v>
      </c>
      <c r="O137" s="3"/>
      <c r="P137" s="10"/>
      <c r="Q137" s="3" t="s">
        <v>34</v>
      </c>
      <c r="R137" s="67">
        <f t="shared" si="5"/>
        <v>0.20357370772176134</v>
      </c>
    </row>
    <row r="138" spans="1:18" ht="14.25" customHeight="1" x14ac:dyDescent="0.3">
      <c r="A138" s="3" t="s">
        <v>197</v>
      </c>
      <c r="B138" s="3" t="s">
        <v>38</v>
      </c>
      <c r="C138" s="10">
        <v>45504</v>
      </c>
      <c r="D138" s="3" t="s">
        <v>59</v>
      </c>
      <c r="E138" s="3" t="s">
        <v>60</v>
      </c>
      <c r="F138" s="19">
        <v>3008</v>
      </c>
      <c r="G138" s="19">
        <v>94</v>
      </c>
      <c r="H138" s="19">
        <v>37</v>
      </c>
      <c r="I138" s="19">
        <v>15040</v>
      </c>
      <c r="J138" s="19">
        <v>14639</v>
      </c>
      <c r="K138" s="19">
        <v>277</v>
      </c>
      <c r="L138" s="19">
        <f t="shared" si="4"/>
        <v>3139</v>
      </c>
      <c r="M138" s="4" t="s">
        <v>51</v>
      </c>
      <c r="N138" s="3" t="s">
        <v>51</v>
      </c>
      <c r="O138" s="3"/>
      <c r="P138" s="10"/>
      <c r="Q138" s="3" t="s">
        <v>397</v>
      </c>
      <c r="R138" s="67">
        <f t="shared" si="5"/>
        <v>0.20871010638297871</v>
      </c>
    </row>
    <row r="139" spans="1:18" ht="14.25" customHeight="1" x14ac:dyDescent="0.3">
      <c r="A139" s="3" t="s">
        <v>198</v>
      </c>
      <c r="B139" s="3" t="s">
        <v>14</v>
      </c>
      <c r="C139" s="10">
        <v>45745</v>
      </c>
      <c r="D139" s="3" t="s">
        <v>44</v>
      </c>
      <c r="E139" s="3" t="s">
        <v>92</v>
      </c>
      <c r="F139" s="19">
        <v>305</v>
      </c>
      <c r="G139" s="19">
        <v>187</v>
      </c>
      <c r="H139" s="19">
        <v>243</v>
      </c>
      <c r="I139" s="19">
        <v>4575</v>
      </c>
      <c r="J139" s="19">
        <v>3704</v>
      </c>
      <c r="K139" s="19">
        <v>234</v>
      </c>
      <c r="L139" s="19">
        <f t="shared" si="4"/>
        <v>735</v>
      </c>
      <c r="M139" s="4" t="s">
        <v>51</v>
      </c>
      <c r="N139" s="3" t="s">
        <v>51</v>
      </c>
      <c r="O139" s="3"/>
      <c r="P139" s="10"/>
      <c r="Q139" s="3" t="s">
        <v>28</v>
      </c>
      <c r="R139" s="67">
        <f t="shared" si="5"/>
        <v>0.16065573770491803</v>
      </c>
    </row>
    <row r="140" spans="1:18" ht="14.25" customHeight="1" x14ac:dyDescent="0.3">
      <c r="A140" s="3" t="s">
        <v>199</v>
      </c>
      <c r="B140" s="3" t="s">
        <v>25</v>
      </c>
      <c r="C140" s="10">
        <v>45594</v>
      </c>
      <c r="D140" s="3" t="s">
        <v>20</v>
      </c>
      <c r="E140" s="3" t="s">
        <v>77</v>
      </c>
      <c r="F140" s="19">
        <v>2746</v>
      </c>
      <c r="G140" s="19">
        <v>156</v>
      </c>
      <c r="H140" s="19">
        <v>203</v>
      </c>
      <c r="I140" s="19">
        <v>32952</v>
      </c>
      <c r="J140" s="19">
        <v>32147</v>
      </c>
      <c r="K140" s="19">
        <v>147</v>
      </c>
      <c r="L140" s="19">
        <f t="shared" si="4"/>
        <v>3105</v>
      </c>
      <c r="M140" s="4" t="s">
        <v>33</v>
      </c>
      <c r="N140" s="3" t="s">
        <v>33</v>
      </c>
      <c r="O140" s="3"/>
      <c r="P140" s="10"/>
      <c r="Q140" s="3" t="s">
        <v>18</v>
      </c>
      <c r="R140" s="67">
        <f t="shared" si="5"/>
        <v>9.422796795338674E-2</v>
      </c>
    </row>
    <row r="141" spans="1:18" ht="14.25" customHeight="1" x14ac:dyDescent="0.3">
      <c r="A141" s="3" t="s">
        <v>200</v>
      </c>
      <c r="B141" s="3" t="s">
        <v>38</v>
      </c>
      <c r="C141" s="10">
        <v>45488</v>
      </c>
      <c r="D141" s="3" t="s">
        <v>44</v>
      </c>
      <c r="E141" s="3" t="s">
        <v>49</v>
      </c>
      <c r="F141" s="19">
        <v>2291</v>
      </c>
      <c r="G141" s="19">
        <v>78</v>
      </c>
      <c r="H141" s="19">
        <v>485</v>
      </c>
      <c r="I141" s="19">
        <v>18328</v>
      </c>
      <c r="J141" s="19">
        <v>18101</v>
      </c>
      <c r="K141" s="19">
        <v>10</v>
      </c>
      <c r="L141" s="19">
        <f t="shared" si="4"/>
        <v>2854</v>
      </c>
      <c r="M141" s="4" t="s">
        <v>201</v>
      </c>
      <c r="N141" s="3" t="s">
        <v>33</v>
      </c>
      <c r="O141" s="3" t="s">
        <v>388</v>
      </c>
      <c r="P141" s="10"/>
      <c r="Q141" s="3" t="s">
        <v>23</v>
      </c>
      <c r="R141" s="67">
        <f t="shared" si="5"/>
        <v>0.15571802706241816</v>
      </c>
    </row>
    <row r="142" spans="1:18" ht="14.25" customHeight="1" x14ac:dyDescent="0.3">
      <c r="A142" s="3" t="s">
        <v>202</v>
      </c>
      <c r="B142" s="3" t="s">
        <v>14</v>
      </c>
      <c r="C142" s="10">
        <v>45535</v>
      </c>
      <c r="D142" s="3" t="s">
        <v>44</v>
      </c>
      <c r="E142" s="3" t="s">
        <v>92</v>
      </c>
      <c r="F142" s="19">
        <v>3170</v>
      </c>
      <c r="G142" s="19">
        <v>857</v>
      </c>
      <c r="H142" s="19">
        <v>379</v>
      </c>
      <c r="I142" s="19">
        <v>19020</v>
      </c>
      <c r="J142" s="19">
        <v>18559</v>
      </c>
      <c r="K142" s="19">
        <v>240</v>
      </c>
      <c r="L142" s="19">
        <f t="shared" si="4"/>
        <v>4406</v>
      </c>
      <c r="M142" s="4" t="s">
        <v>51</v>
      </c>
      <c r="N142" s="3" t="s">
        <v>51</v>
      </c>
      <c r="O142" s="3"/>
      <c r="P142" s="10"/>
      <c r="Q142" s="3" t="s">
        <v>397</v>
      </c>
      <c r="R142" s="67">
        <f t="shared" si="5"/>
        <v>0.2316508937960042</v>
      </c>
    </row>
    <row r="143" spans="1:18" ht="14.25" customHeight="1" x14ac:dyDescent="0.3">
      <c r="A143" s="3" t="s">
        <v>203</v>
      </c>
      <c r="B143" s="3" t="s">
        <v>25</v>
      </c>
      <c r="C143" s="10">
        <v>45741</v>
      </c>
      <c r="D143" s="3" t="s">
        <v>31</v>
      </c>
      <c r="E143" s="3" t="s">
        <v>105</v>
      </c>
      <c r="F143" s="19">
        <v>2070</v>
      </c>
      <c r="G143" s="19">
        <v>275</v>
      </c>
      <c r="H143" s="19">
        <v>386</v>
      </c>
      <c r="I143" s="19">
        <v>39330</v>
      </c>
      <c r="J143" s="19">
        <v>38627</v>
      </c>
      <c r="K143" s="19">
        <v>114</v>
      </c>
      <c r="L143" s="19">
        <f t="shared" si="4"/>
        <v>2731</v>
      </c>
      <c r="M143" s="4" t="s">
        <v>51</v>
      </c>
      <c r="N143" s="3" t="s">
        <v>51</v>
      </c>
      <c r="O143" s="3"/>
      <c r="P143" s="10"/>
      <c r="Q143" s="3" t="s">
        <v>34</v>
      </c>
      <c r="R143" s="67">
        <f t="shared" si="5"/>
        <v>6.9438087973557078E-2</v>
      </c>
    </row>
    <row r="144" spans="1:18" ht="14.25" customHeight="1" x14ac:dyDescent="0.3">
      <c r="A144" s="3" t="s">
        <v>204</v>
      </c>
      <c r="B144" s="3" t="s">
        <v>25</v>
      </c>
      <c r="C144" s="10">
        <v>45567</v>
      </c>
      <c r="D144" s="3" t="s">
        <v>39</v>
      </c>
      <c r="E144" s="3" t="s">
        <v>55</v>
      </c>
      <c r="F144" s="19">
        <v>80</v>
      </c>
      <c r="G144" s="19">
        <v>362</v>
      </c>
      <c r="H144" s="19">
        <v>80</v>
      </c>
      <c r="I144" s="19">
        <v>1040</v>
      </c>
      <c r="J144" s="19">
        <v>349</v>
      </c>
      <c r="K144" s="19">
        <v>117</v>
      </c>
      <c r="L144" s="19">
        <f t="shared" si="4"/>
        <v>522</v>
      </c>
      <c r="M144" s="4" t="s">
        <v>27</v>
      </c>
      <c r="N144" s="3" t="s">
        <v>27</v>
      </c>
      <c r="O144" s="3"/>
      <c r="P144" s="10"/>
      <c r="Q144" s="3" t="s">
        <v>28</v>
      </c>
      <c r="R144" s="67">
        <f t="shared" si="5"/>
        <v>0.50192307692307692</v>
      </c>
    </row>
    <row r="145" spans="1:18" ht="14.25" customHeight="1" x14ac:dyDescent="0.3">
      <c r="A145" s="3" t="s">
        <v>205</v>
      </c>
      <c r="B145" s="3" t="s">
        <v>25</v>
      </c>
      <c r="C145" s="10">
        <v>45593</v>
      </c>
      <c r="D145" s="3" t="s">
        <v>31</v>
      </c>
      <c r="E145" s="3" t="s">
        <v>105</v>
      </c>
      <c r="F145" s="19">
        <v>4929</v>
      </c>
      <c r="G145" s="19">
        <v>749</v>
      </c>
      <c r="H145" s="19">
        <v>452</v>
      </c>
      <c r="I145" s="19">
        <v>93651</v>
      </c>
      <c r="J145" s="19">
        <v>92810</v>
      </c>
      <c r="K145" s="19">
        <v>66</v>
      </c>
      <c r="L145" s="19">
        <f t="shared" si="4"/>
        <v>6130</v>
      </c>
      <c r="M145" s="4" t="s">
        <v>33</v>
      </c>
      <c r="N145" s="3" t="s">
        <v>33</v>
      </c>
      <c r="O145" s="3"/>
      <c r="P145" s="10"/>
      <c r="Q145" s="3" t="s">
        <v>34</v>
      </c>
      <c r="R145" s="67">
        <f t="shared" si="5"/>
        <v>6.5455787978772245E-2</v>
      </c>
    </row>
    <row r="146" spans="1:18" ht="14.25" customHeight="1" x14ac:dyDescent="0.3">
      <c r="A146" s="3" t="s">
        <v>206</v>
      </c>
      <c r="B146" s="3" t="s">
        <v>30</v>
      </c>
      <c r="C146" s="10">
        <v>45516</v>
      </c>
      <c r="D146" s="3" t="s">
        <v>39</v>
      </c>
      <c r="E146" s="3" t="s">
        <v>68</v>
      </c>
      <c r="F146" s="19">
        <v>1878</v>
      </c>
      <c r="G146" s="19">
        <v>62</v>
      </c>
      <c r="H146" s="19">
        <v>179</v>
      </c>
      <c r="I146" s="19">
        <v>37560</v>
      </c>
      <c r="J146" s="19">
        <v>36874</v>
      </c>
      <c r="K146" s="19">
        <v>142</v>
      </c>
      <c r="L146" s="19">
        <f t="shared" si="4"/>
        <v>2119</v>
      </c>
      <c r="M146" s="4" t="s">
        <v>27</v>
      </c>
      <c r="N146" s="3" t="s">
        <v>27</v>
      </c>
      <c r="O146" s="3"/>
      <c r="P146" s="10"/>
      <c r="Q146" s="3" t="s">
        <v>34</v>
      </c>
      <c r="R146" s="67">
        <f t="shared" si="5"/>
        <v>5.6416400425985093E-2</v>
      </c>
    </row>
    <row r="147" spans="1:18" ht="14.25" customHeight="1" x14ac:dyDescent="0.3">
      <c r="A147" s="3" t="s">
        <v>207</v>
      </c>
      <c r="B147" s="3" t="s">
        <v>25</v>
      </c>
      <c r="C147" s="10">
        <v>45448</v>
      </c>
      <c r="D147" s="3" t="s">
        <v>15</v>
      </c>
      <c r="E147" s="3" t="s">
        <v>26</v>
      </c>
      <c r="F147" s="19">
        <v>3065</v>
      </c>
      <c r="G147" s="19">
        <v>772</v>
      </c>
      <c r="H147" s="19">
        <v>142</v>
      </c>
      <c r="I147" s="19">
        <v>18390</v>
      </c>
      <c r="J147" s="19">
        <v>17875</v>
      </c>
      <c r="K147" s="19">
        <v>200</v>
      </c>
      <c r="L147" s="19">
        <f t="shared" si="4"/>
        <v>3979</v>
      </c>
      <c r="M147" s="4" t="s">
        <v>208</v>
      </c>
      <c r="N147" s="3" t="s">
        <v>33</v>
      </c>
      <c r="O147" s="3" t="s">
        <v>392</v>
      </c>
      <c r="P147" s="10"/>
      <c r="Q147" s="3" t="s">
        <v>397</v>
      </c>
      <c r="R147" s="67">
        <f t="shared" si="5"/>
        <v>0.21636759108210984</v>
      </c>
    </row>
    <row r="148" spans="1:18" ht="14.25" customHeight="1" x14ac:dyDescent="0.3">
      <c r="A148" s="3" t="s">
        <v>209</v>
      </c>
      <c r="B148" s="3" t="s">
        <v>30</v>
      </c>
      <c r="C148" s="10">
        <v>45586</v>
      </c>
      <c r="D148" s="3" t="s">
        <v>15</v>
      </c>
      <c r="E148" s="3" t="s">
        <v>64</v>
      </c>
      <c r="F148" s="19">
        <v>3256</v>
      </c>
      <c r="G148" s="19">
        <v>459</v>
      </c>
      <c r="H148" s="19">
        <v>266</v>
      </c>
      <c r="I148" s="19">
        <v>26048</v>
      </c>
      <c r="J148" s="19">
        <v>25529</v>
      </c>
      <c r="K148" s="19">
        <v>143</v>
      </c>
      <c r="L148" s="19">
        <f t="shared" si="4"/>
        <v>3981</v>
      </c>
      <c r="M148" s="4" t="s">
        <v>27</v>
      </c>
      <c r="N148" s="3" t="s">
        <v>27</v>
      </c>
      <c r="O148" s="3"/>
      <c r="P148" s="10"/>
      <c r="Q148" s="3" t="s">
        <v>23</v>
      </c>
      <c r="R148" s="67">
        <f t="shared" si="5"/>
        <v>0.15283323095823095</v>
      </c>
    </row>
    <row r="149" spans="1:18" ht="14.25" customHeight="1" x14ac:dyDescent="0.3">
      <c r="A149" s="3" t="s">
        <v>210</v>
      </c>
      <c r="B149" s="3" t="s">
        <v>30</v>
      </c>
      <c r="C149" s="10">
        <v>45762</v>
      </c>
      <c r="D149" s="3" t="s">
        <v>59</v>
      </c>
      <c r="E149" s="3" t="s">
        <v>66</v>
      </c>
      <c r="F149" s="19">
        <v>4133</v>
      </c>
      <c r="G149" s="19">
        <v>466</v>
      </c>
      <c r="H149" s="19">
        <v>327</v>
      </c>
      <c r="I149" s="19">
        <v>24798</v>
      </c>
      <c r="J149" s="19">
        <v>24620</v>
      </c>
      <c r="K149" s="19">
        <v>176</v>
      </c>
      <c r="L149" s="19">
        <f t="shared" si="4"/>
        <v>4926</v>
      </c>
      <c r="M149" s="4" t="s">
        <v>33</v>
      </c>
      <c r="N149" s="3" t="s">
        <v>33</v>
      </c>
      <c r="O149" s="3"/>
      <c r="P149" s="10"/>
      <c r="Q149" s="3" t="s">
        <v>34</v>
      </c>
      <c r="R149" s="67">
        <f t="shared" si="5"/>
        <v>0.19864505202032423</v>
      </c>
    </row>
    <row r="150" spans="1:18" ht="14.25" customHeight="1" x14ac:dyDescent="0.3">
      <c r="A150" s="3" t="s">
        <v>211</v>
      </c>
      <c r="B150" s="3" t="s">
        <v>14</v>
      </c>
      <c r="C150" s="10">
        <v>45459</v>
      </c>
      <c r="D150" s="3" t="s">
        <v>59</v>
      </c>
      <c r="E150" s="3" t="s">
        <v>99</v>
      </c>
      <c r="F150" s="19">
        <v>1702</v>
      </c>
      <c r="G150" s="19">
        <v>750</v>
      </c>
      <c r="H150" s="19">
        <v>179</v>
      </c>
      <c r="I150" s="19">
        <v>34040</v>
      </c>
      <c r="J150" s="19">
        <v>33174</v>
      </c>
      <c r="K150" s="19">
        <v>76</v>
      </c>
      <c r="L150" s="19">
        <f t="shared" si="4"/>
        <v>2631</v>
      </c>
      <c r="M150" s="4" t="s">
        <v>33</v>
      </c>
      <c r="N150" s="3" t="s">
        <v>33</v>
      </c>
      <c r="O150" s="3"/>
      <c r="P150" s="10"/>
      <c r="Q150" s="3" t="s">
        <v>18</v>
      </c>
      <c r="R150" s="67">
        <f t="shared" si="5"/>
        <v>7.7291421856639245E-2</v>
      </c>
    </row>
    <row r="151" spans="1:18" ht="14.25" customHeight="1" x14ac:dyDescent="0.3">
      <c r="A151" s="3" t="s">
        <v>212</v>
      </c>
      <c r="B151" s="3" t="s">
        <v>25</v>
      </c>
      <c r="C151" s="10">
        <v>45526</v>
      </c>
      <c r="D151" s="3" t="s">
        <v>39</v>
      </c>
      <c r="E151" s="3" t="s">
        <v>55</v>
      </c>
      <c r="F151" s="19">
        <v>4295</v>
      </c>
      <c r="G151" s="19">
        <v>853</v>
      </c>
      <c r="H151" s="19">
        <v>325</v>
      </c>
      <c r="I151" s="19">
        <v>85900</v>
      </c>
      <c r="J151" s="19">
        <v>85788</v>
      </c>
      <c r="K151" s="19">
        <v>290</v>
      </c>
      <c r="L151" s="19">
        <f t="shared" si="4"/>
        <v>5473</v>
      </c>
      <c r="M151" s="4" t="s">
        <v>27</v>
      </c>
      <c r="N151" s="3" t="s">
        <v>27</v>
      </c>
      <c r="O151" s="3"/>
      <c r="P151" s="10"/>
      <c r="Q151" s="3" t="s">
        <v>34</v>
      </c>
      <c r="R151" s="67">
        <f t="shared" si="5"/>
        <v>6.3713620488940623E-2</v>
      </c>
    </row>
    <row r="152" spans="1:18" ht="14.25" customHeight="1" x14ac:dyDescent="0.3">
      <c r="A152" s="3" t="s">
        <v>213</v>
      </c>
      <c r="B152" s="3" t="s">
        <v>30</v>
      </c>
      <c r="C152" s="10">
        <v>45499</v>
      </c>
      <c r="D152" s="3" t="s">
        <v>44</v>
      </c>
      <c r="E152" s="3" t="s">
        <v>140</v>
      </c>
      <c r="F152" s="19">
        <v>3559</v>
      </c>
      <c r="G152" s="19">
        <v>59</v>
      </c>
      <c r="H152" s="19">
        <v>289</v>
      </c>
      <c r="I152" s="19">
        <v>35590</v>
      </c>
      <c r="J152" s="19">
        <v>35105</v>
      </c>
      <c r="K152" s="19">
        <v>122</v>
      </c>
      <c r="L152" s="19">
        <f t="shared" si="4"/>
        <v>3907</v>
      </c>
      <c r="M152" s="4" t="s">
        <v>33</v>
      </c>
      <c r="N152" s="3" t="s">
        <v>33</v>
      </c>
      <c r="O152" s="3"/>
      <c r="P152" s="10"/>
      <c r="Q152" s="3" t="s">
        <v>18</v>
      </c>
      <c r="R152" s="67">
        <f t="shared" si="5"/>
        <v>0.10977802753582468</v>
      </c>
    </row>
    <row r="153" spans="1:18" ht="14.25" customHeight="1" x14ac:dyDescent="0.3">
      <c r="A153" s="3" t="s">
        <v>214</v>
      </c>
      <c r="B153" s="3" t="s">
        <v>38</v>
      </c>
      <c r="C153" s="10">
        <v>45769</v>
      </c>
      <c r="D153" s="3" t="s">
        <v>44</v>
      </c>
      <c r="E153" s="3" t="s">
        <v>49</v>
      </c>
      <c r="F153" s="19">
        <v>4804</v>
      </c>
      <c r="G153" s="19">
        <v>550</v>
      </c>
      <c r="H153" s="19">
        <v>270</v>
      </c>
      <c r="I153" s="19">
        <v>28824</v>
      </c>
      <c r="J153" s="19">
        <v>28370</v>
      </c>
      <c r="K153" s="19">
        <v>47</v>
      </c>
      <c r="L153" s="19">
        <f t="shared" si="4"/>
        <v>5624</v>
      </c>
      <c r="M153" s="4" t="s">
        <v>33</v>
      </c>
      <c r="N153" s="3" t="s">
        <v>33</v>
      </c>
      <c r="O153" s="3"/>
      <c r="P153" s="10"/>
      <c r="Q153" s="3" t="s">
        <v>34</v>
      </c>
      <c r="R153" s="67">
        <f t="shared" si="5"/>
        <v>0.19511518179295032</v>
      </c>
    </row>
    <row r="154" spans="1:18" ht="14.25" customHeight="1" x14ac:dyDescent="0.3">
      <c r="A154" s="3" t="s">
        <v>215</v>
      </c>
      <c r="B154" s="3" t="s">
        <v>14</v>
      </c>
      <c r="C154" s="10">
        <v>45658</v>
      </c>
      <c r="D154" s="3" t="s">
        <v>59</v>
      </c>
      <c r="E154" s="3" t="s">
        <v>99</v>
      </c>
      <c r="F154" s="19">
        <v>754</v>
      </c>
      <c r="G154" s="19">
        <v>197</v>
      </c>
      <c r="H154" s="19">
        <v>257</v>
      </c>
      <c r="I154" s="19">
        <v>6786</v>
      </c>
      <c r="J154" s="19">
        <v>6221</v>
      </c>
      <c r="K154" s="19">
        <v>212</v>
      </c>
      <c r="L154" s="19">
        <f t="shared" si="4"/>
        <v>1208</v>
      </c>
      <c r="M154" s="4" t="s">
        <v>27</v>
      </c>
      <c r="N154" s="3" t="s">
        <v>27</v>
      </c>
      <c r="O154" s="3"/>
      <c r="P154" s="10"/>
      <c r="Q154" s="3" t="s">
        <v>28</v>
      </c>
      <c r="R154" s="67">
        <f t="shared" si="5"/>
        <v>0.17801355732390214</v>
      </c>
    </row>
    <row r="155" spans="1:18" ht="14.25" customHeight="1" x14ac:dyDescent="0.3">
      <c r="A155" s="3" t="s">
        <v>216</v>
      </c>
      <c r="B155" s="3" t="s">
        <v>30</v>
      </c>
      <c r="C155" s="10">
        <v>45574</v>
      </c>
      <c r="D155" s="3" t="s">
        <v>39</v>
      </c>
      <c r="E155" s="3" t="s">
        <v>68</v>
      </c>
      <c r="F155" s="19">
        <v>985</v>
      </c>
      <c r="G155" s="19">
        <v>932</v>
      </c>
      <c r="H155" s="19">
        <v>287</v>
      </c>
      <c r="I155" s="19">
        <v>6895</v>
      </c>
      <c r="J155" s="19">
        <v>6757</v>
      </c>
      <c r="K155" s="19">
        <v>64</v>
      </c>
      <c r="L155" s="19">
        <f t="shared" si="4"/>
        <v>2204</v>
      </c>
      <c r="M155" s="4" t="s">
        <v>51</v>
      </c>
      <c r="N155" s="3" t="s">
        <v>51</v>
      </c>
      <c r="O155" s="3"/>
      <c r="P155" s="10"/>
      <c r="Q155" s="3" t="s">
        <v>34</v>
      </c>
      <c r="R155" s="67">
        <f t="shared" si="5"/>
        <v>0.31965192168237855</v>
      </c>
    </row>
    <row r="156" spans="1:18" ht="14.25" customHeight="1" x14ac:dyDescent="0.3">
      <c r="A156" s="3" t="s">
        <v>217</v>
      </c>
      <c r="B156" s="3" t="s">
        <v>25</v>
      </c>
      <c r="C156" s="10">
        <v>45647</v>
      </c>
      <c r="D156" s="3" t="s">
        <v>44</v>
      </c>
      <c r="E156" s="3" t="s">
        <v>45</v>
      </c>
      <c r="F156" s="19">
        <v>2283</v>
      </c>
      <c r="G156" s="19">
        <v>210</v>
      </c>
      <c r="H156" s="19">
        <v>130</v>
      </c>
      <c r="I156" s="19">
        <v>22830</v>
      </c>
      <c r="J156" s="19">
        <v>22617</v>
      </c>
      <c r="K156" s="19">
        <v>143</v>
      </c>
      <c r="L156" s="19">
        <f t="shared" si="4"/>
        <v>2623</v>
      </c>
      <c r="M156" s="4" t="s">
        <v>51</v>
      </c>
      <c r="N156" s="3" t="s">
        <v>51</v>
      </c>
      <c r="O156" s="3"/>
      <c r="P156" s="10"/>
      <c r="Q156" s="3" t="s">
        <v>23</v>
      </c>
      <c r="R156" s="67">
        <f t="shared" si="5"/>
        <v>0.11489268506351293</v>
      </c>
    </row>
    <row r="157" spans="1:18" ht="14.25" customHeight="1" x14ac:dyDescent="0.3">
      <c r="A157" s="3" t="s">
        <v>218</v>
      </c>
      <c r="B157" s="3" t="s">
        <v>38</v>
      </c>
      <c r="C157" s="10">
        <v>45587</v>
      </c>
      <c r="D157" s="3" t="s">
        <v>39</v>
      </c>
      <c r="E157" s="3" t="s">
        <v>40</v>
      </c>
      <c r="F157" s="19">
        <v>3352</v>
      </c>
      <c r="G157" s="19">
        <v>941</v>
      </c>
      <c r="H157" s="19">
        <v>482</v>
      </c>
      <c r="I157" s="19">
        <v>43576</v>
      </c>
      <c r="J157" s="19">
        <v>43338</v>
      </c>
      <c r="K157" s="19">
        <v>240</v>
      </c>
      <c r="L157" s="19">
        <f t="shared" si="4"/>
        <v>4775</v>
      </c>
      <c r="M157" s="4" t="s">
        <v>51</v>
      </c>
      <c r="N157" s="3" t="s">
        <v>51</v>
      </c>
      <c r="O157" s="3"/>
      <c r="P157" s="10"/>
      <c r="Q157" s="3" t="s">
        <v>23</v>
      </c>
      <c r="R157" s="67">
        <f t="shared" si="5"/>
        <v>0.1095786671562328</v>
      </c>
    </row>
    <row r="158" spans="1:18" ht="14.25" customHeight="1" x14ac:dyDescent="0.3">
      <c r="A158" s="3" t="s">
        <v>219</v>
      </c>
      <c r="B158" s="3" t="s">
        <v>25</v>
      </c>
      <c r="C158" s="10">
        <v>45496</v>
      </c>
      <c r="D158" s="3" t="s">
        <v>31</v>
      </c>
      <c r="E158" s="3" t="s">
        <v>105</v>
      </c>
      <c r="F158" s="19">
        <v>4775</v>
      </c>
      <c r="G158" s="19">
        <v>173</v>
      </c>
      <c r="H158" s="19">
        <v>206</v>
      </c>
      <c r="I158" s="19">
        <v>47750</v>
      </c>
      <c r="J158" s="19">
        <v>47544</v>
      </c>
      <c r="K158" s="19">
        <v>187</v>
      </c>
      <c r="L158" s="19">
        <f t="shared" si="4"/>
        <v>5154</v>
      </c>
      <c r="M158" s="4" t="s">
        <v>51</v>
      </c>
      <c r="N158" s="3" t="s">
        <v>51</v>
      </c>
      <c r="O158" s="3"/>
      <c r="P158" s="10"/>
      <c r="Q158" s="3" t="s">
        <v>23</v>
      </c>
      <c r="R158" s="67">
        <f t="shared" si="5"/>
        <v>0.10793717277486911</v>
      </c>
    </row>
    <row r="159" spans="1:18" ht="14.25" customHeight="1" x14ac:dyDescent="0.3">
      <c r="A159" s="3" t="s">
        <v>220</v>
      </c>
      <c r="B159" s="3" t="s">
        <v>30</v>
      </c>
      <c r="C159" s="10">
        <v>45515</v>
      </c>
      <c r="D159" s="3" t="s">
        <v>31</v>
      </c>
      <c r="E159" s="3" t="s">
        <v>32</v>
      </c>
      <c r="F159" s="19">
        <v>1762</v>
      </c>
      <c r="G159" s="19">
        <v>405</v>
      </c>
      <c r="H159" s="19">
        <v>423</v>
      </c>
      <c r="I159" s="19">
        <v>22906</v>
      </c>
      <c r="J159" s="19">
        <v>21925</v>
      </c>
      <c r="K159" s="19">
        <v>25</v>
      </c>
      <c r="L159" s="19">
        <f t="shared" si="4"/>
        <v>2590</v>
      </c>
      <c r="M159" s="4" t="s">
        <v>27</v>
      </c>
      <c r="N159" s="3" t="s">
        <v>27</v>
      </c>
      <c r="O159" s="3"/>
      <c r="P159" s="10"/>
      <c r="Q159" s="3" t="s">
        <v>18</v>
      </c>
      <c r="R159" s="67">
        <f t="shared" si="5"/>
        <v>0.11307081114118571</v>
      </c>
    </row>
    <row r="160" spans="1:18" ht="14.25" customHeight="1" x14ac:dyDescent="0.3">
      <c r="A160" s="3" t="s">
        <v>221</v>
      </c>
      <c r="B160" s="3" t="s">
        <v>38</v>
      </c>
      <c r="C160" s="10">
        <v>45621</v>
      </c>
      <c r="D160" s="3" t="s">
        <v>31</v>
      </c>
      <c r="E160" s="3" t="s">
        <v>57</v>
      </c>
      <c r="F160" s="19">
        <v>2120</v>
      </c>
      <c r="G160" s="19">
        <v>158</v>
      </c>
      <c r="H160" s="19">
        <v>488</v>
      </c>
      <c r="I160" s="19">
        <v>12720</v>
      </c>
      <c r="J160" s="19">
        <v>12085</v>
      </c>
      <c r="K160" s="19">
        <v>17</v>
      </c>
      <c r="L160" s="19">
        <f t="shared" si="4"/>
        <v>2766</v>
      </c>
      <c r="M160" s="4" t="s">
        <v>51</v>
      </c>
      <c r="N160" s="3" t="s">
        <v>51</v>
      </c>
      <c r="O160" s="3"/>
      <c r="P160" s="10"/>
      <c r="Q160" s="3" t="s">
        <v>23</v>
      </c>
      <c r="R160" s="67">
        <f t="shared" si="5"/>
        <v>0.21745283018867925</v>
      </c>
    </row>
    <row r="161" spans="1:18" ht="14.25" customHeight="1" x14ac:dyDescent="0.3">
      <c r="A161" s="3" t="s">
        <v>222</v>
      </c>
      <c r="B161" s="3" t="s">
        <v>14</v>
      </c>
      <c r="C161" s="10">
        <v>45528</v>
      </c>
      <c r="D161" s="3" t="s">
        <v>59</v>
      </c>
      <c r="E161" s="3" t="s">
        <v>99</v>
      </c>
      <c r="F161" s="19">
        <v>1082</v>
      </c>
      <c r="G161" s="19">
        <v>209</v>
      </c>
      <c r="H161" s="19">
        <v>484</v>
      </c>
      <c r="I161" s="19">
        <v>19476</v>
      </c>
      <c r="J161" s="19">
        <v>18654</v>
      </c>
      <c r="K161" s="19">
        <v>20</v>
      </c>
      <c r="L161" s="19">
        <f t="shared" si="4"/>
        <v>1775</v>
      </c>
      <c r="M161" s="4" t="s">
        <v>27</v>
      </c>
      <c r="N161" s="3" t="s">
        <v>27</v>
      </c>
      <c r="O161" s="3"/>
      <c r="P161" s="10"/>
      <c r="Q161" s="3" t="s">
        <v>397</v>
      </c>
      <c r="R161" s="67">
        <f t="shared" si="5"/>
        <v>9.1137810638734856E-2</v>
      </c>
    </row>
    <row r="162" spans="1:18" ht="14.25" customHeight="1" x14ac:dyDescent="0.3">
      <c r="A162" s="3" t="s">
        <v>223</v>
      </c>
      <c r="B162" s="3" t="s">
        <v>14</v>
      </c>
      <c r="C162" s="10">
        <v>45707</v>
      </c>
      <c r="D162" s="3" t="s">
        <v>20</v>
      </c>
      <c r="E162" s="3" t="s">
        <v>21</v>
      </c>
      <c r="F162" s="19">
        <v>4671</v>
      </c>
      <c r="G162" s="19">
        <v>876</v>
      </c>
      <c r="H162" s="19">
        <v>366</v>
      </c>
      <c r="I162" s="19">
        <v>51381</v>
      </c>
      <c r="J162" s="19">
        <v>50565</v>
      </c>
      <c r="K162" s="19">
        <v>245</v>
      </c>
      <c r="L162" s="19">
        <f t="shared" si="4"/>
        <v>5913</v>
      </c>
      <c r="M162" s="4" t="s">
        <v>27</v>
      </c>
      <c r="N162" s="3" t="s">
        <v>27</v>
      </c>
      <c r="O162" s="3"/>
      <c r="P162" s="10"/>
      <c r="Q162" s="3" t="s">
        <v>34</v>
      </c>
      <c r="R162" s="67">
        <f t="shared" si="5"/>
        <v>0.11508145034156594</v>
      </c>
    </row>
    <row r="163" spans="1:18" ht="14.25" customHeight="1" x14ac:dyDescent="0.3">
      <c r="A163" s="3" t="s">
        <v>224</v>
      </c>
      <c r="B163" s="3" t="s">
        <v>38</v>
      </c>
      <c r="C163" s="10">
        <v>45748</v>
      </c>
      <c r="D163" s="3" t="s">
        <v>31</v>
      </c>
      <c r="E163" s="3" t="s">
        <v>57</v>
      </c>
      <c r="F163" s="19">
        <v>3430</v>
      </c>
      <c r="G163" s="19">
        <v>566</v>
      </c>
      <c r="H163" s="19">
        <v>164</v>
      </c>
      <c r="I163" s="19">
        <v>48020</v>
      </c>
      <c r="J163" s="19">
        <v>47305</v>
      </c>
      <c r="K163" s="19">
        <v>120</v>
      </c>
      <c r="L163" s="19">
        <f t="shared" si="4"/>
        <v>4160</v>
      </c>
      <c r="M163" s="4" t="s">
        <v>51</v>
      </c>
      <c r="N163" s="3" t="s">
        <v>51</v>
      </c>
      <c r="O163" s="3"/>
      <c r="P163" s="10"/>
      <c r="Q163" s="3" t="s">
        <v>397</v>
      </c>
      <c r="R163" s="67">
        <f t="shared" si="5"/>
        <v>8.6630570595585168E-2</v>
      </c>
    </row>
    <row r="164" spans="1:18" ht="14.25" customHeight="1" x14ac:dyDescent="0.3">
      <c r="A164" s="3" t="s">
        <v>225</v>
      </c>
      <c r="B164" s="3" t="s">
        <v>30</v>
      </c>
      <c r="C164" s="10">
        <v>45755</v>
      </c>
      <c r="D164" s="3" t="s">
        <v>44</v>
      </c>
      <c r="E164" s="3" t="s">
        <v>140</v>
      </c>
      <c r="F164" s="19">
        <v>4501</v>
      </c>
      <c r="G164" s="19">
        <v>375</v>
      </c>
      <c r="H164" s="19">
        <v>323</v>
      </c>
      <c r="I164" s="19">
        <v>22505</v>
      </c>
      <c r="J164" s="19">
        <v>21836</v>
      </c>
      <c r="K164" s="19">
        <v>132</v>
      </c>
      <c r="L164" s="19">
        <f t="shared" si="4"/>
        <v>5199</v>
      </c>
      <c r="M164" s="4" t="s">
        <v>27</v>
      </c>
      <c r="N164" s="3" t="s">
        <v>27</v>
      </c>
      <c r="O164" s="3"/>
      <c r="P164" s="10"/>
      <c r="Q164" s="3" t="s">
        <v>23</v>
      </c>
      <c r="R164" s="67">
        <f t="shared" si="5"/>
        <v>0.23101532992668297</v>
      </c>
    </row>
    <row r="165" spans="1:18" ht="14.25" customHeight="1" x14ac:dyDescent="0.3">
      <c r="A165" s="3" t="s">
        <v>226</v>
      </c>
      <c r="B165" s="3" t="s">
        <v>25</v>
      </c>
      <c r="C165" s="10">
        <v>45715</v>
      </c>
      <c r="D165" s="3" t="s">
        <v>20</v>
      </c>
      <c r="E165" s="3" t="s">
        <v>77</v>
      </c>
      <c r="F165" s="19">
        <v>4934</v>
      </c>
      <c r="G165" s="19">
        <v>971</v>
      </c>
      <c r="H165" s="19">
        <v>156</v>
      </c>
      <c r="I165" s="19">
        <v>39472</v>
      </c>
      <c r="J165" s="19">
        <v>39025</v>
      </c>
      <c r="K165" s="19">
        <v>169</v>
      </c>
      <c r="L165" s="19">
        <f t="shared" si="4"/>
        <v>6061</v>
      </c>
      <c r="M165" s="4" t="s">
        <v>72</v>
      </c>
      <c r="N165" s="3" t="s">
        <v>27</v>
      </c>
      <c r="O165" s="3" t="s">
        <v>392</v>
      </c>
      <c r="P165" s="10"/>
      <c r="Q165" s="3" t="s">
        <v>34</v>
      </c>
      <c r="R165" s="67">
        <f t="shared" si="5"/>
        <v>0.15355188488042157</v>
      </c>
    </row>
    <row r="166" spans="1:18" ht="14.25" customHeight="1" x14ac:dyDescent="0.3">
      <c r="A166" s="3" t="s">
        <v>227</v>
      </c>
      <c r="B166" s="3" t="s">
        <v>14</v>
      </c>
      <c r="C166" s="10">
        <v>45637</v>
      </c>
      <c r="D166" s="3" t="s">
        <v>20</v>
      </c>
      <c r="E166" s="3" t="s">
        <v>21</v>
      </c>
      <c r="F166" s="19">
        <v>3239</v>
      </c>
      <c r="G166" s="19">
        <v>43</v>
      </c>
      <c r="H166" s="19">
        <v>211</v>
      </c>
      <c r="I166" s="19">
        <v>22673</v>
      </c>
      <c r="J166" s="19">
        <v>22171</v>
      </c>
      <c r="K166" s="19">
        <v>230</v>
      </c>
      <c r="L166" s="19">
        <f t="shared" si="4"/>
        <v>3493</v>
      </c>
      <c r="M166" s="4" t="s">
        <v>27</v>
      </c>
      <c r="N166" s="3" t="s">
        <v>27</v>
      </c>
      <c r="O166" s="3"/>
      <c r="P166" s="10"/>
      <c r="Q166" s="3" t="s">
        <v>23</v>
      </c>
      <c r="R166" s="67">
        <f t="shared" si="5"/>
        <v>0.15405989502933004</v>
      </c>
    </row>
    <row r="167" spans="1:18" ht="14.25" customHeight="1" x14ac:dyDescent="0.3">
      <c r="A167" s="3" t="s">
        <v>228</v>
      </c>
      <c r="B167" s="3" t="s">
        <v>14</v>
      </c>
      <c r="C167" s="10">
        <v>45704</v>
      </c>
      <c r="D167" s="3" t="s">
        <v>15</v>
      </c>
      <c r="E167" s="3" t="s">
        <v>16</v>
      </c>
      <c r="F167" s="19">
        <v>1076</v>
      </c>
      <c r="G167" s="19">
        <v>313</v>
      </c>
      <c r="H167" s="19">
        <v>306</v>
      </c>
      <c r="I167" s="19">
        <v>11836</v>
      </c>
      <c r="J167" s="19">
        <v>11596</v>
      </c>
      <c r="K167" s="19">
        <v>104</v>
      </c>
      <c r="L167" s="19">
        <f t="shared" si="4"/>
        <v>1695</v>
      </c>
      <c r="M167" s="4" t="s">
        <v>51</v>
      </c>
      <c r="N167" s="3" t="s">
        <v>51</v>
      </c>
      <c r="O167" s="3"/>
      <c r="P167" s="10"/>
      <c r="Q167" s="3" t="s">
        <v>18</v>
      </c>
      <c r="R167" s="67">
        <f t="shared" si="5"/>
        <v>0.14320716458262928</v>
      </c>
    </row>
    <row r="168" spans="1:18" ht="14.25" customHeight="1" x14ac:dyDescent="0.3">
      <c r="A168" s="3" t="s">
        <v>229</v>
      </c>
      <c r="B168" s="3" t="s">
        <v>30</v>
      </c>
      <c r="C168" s="10">
        <v>45624</v>
      </c>
      <c r="D168" s="3" t="s">
        <v>20</v>
      </c>
      <c r="E168" s="3" t="s">
        <v>82</v>
      </c>
      <c r="F168" s="19">
        <v>4771</v>
      </c>
      <c r="G168" s="19">
        <v>818</v>
      </c>
      <c r="H168" s="19">
        <v>56</v>
      </c>
      <c r="I168" s="19">
        <v>57252</v>
      </c>
      <c r="J168" s="19">
        <v>56378</v>
      </c>
      <c r="K168" s="19">
        <v>150</v>
      </c>
      <c r="L168" s="19">
        <f t="shared" si="4"/>
        <v>5645</v>
      </c>
      <c r="M168" s="4" t="s">
        <v>51</v>
      </c>
      <c r="N168" s="3" t="s">
        <v>51</v>
      </c>
      <c r="O168" s="3"/>
      <c r="P168" s="10"/>
      <c r="Q168" s="3" t="s">
        <v>397</v>
      </c>
      <c r="R168" s="67">
        <f t="shared" si="5"/>
        <v>9.859917557465242E-2</v>
      </c>
    </row>
    <row r="169" spans="1:18" ht="14.25" customHeight="1" x14ac:dyDescent="0.3">
      <c r="A169" s="3" t="s">
        <v>230</v>
      </c>
      <c r="B169" s="3" t="s">
        <v>38</v>
      </c>
      <c r="C169" s="10">
        <v>45608</v>
      </c>
      <c r="D169" s="3" t="s">
        <v>20</v>
      </c>
      <c r="E169" s="3" t="s">
        <v>47</v>
      </c>
      <c r="F169" s="19">
        <v>2418</v>
      </c>
      <c r="G169" s="19">
        <v>754</v>
      </c>
      <c r="H169" s="19">
        <v>54</v>
      </c>
      <c r="I169" s="19">
        <v>43524</v>
      </c>
      <c r="J169" s="19">
        <v>42743</v>
      </c>
      <c r="K169" s="19">
        <v>182</v>
      </c>
      <c r="L169" s="19">
        <f t="shared" si="4"/>
        <v>3226</v>
      </c>
      <c r="M169" s="4" t="s">
        <v>33</v>
      </c>
      <c r="N169" s="3" t="s">
        <v>33</v>
      </c>
      <c r="O169" s="3"/>
      <c r="P169" s="10"/>
      <c r="Q169" s="3" t="s">
        <v>18</v>
      </c>
      <c r="R169" s="67">
        <f t="shared" si="5"/>
        <v>7.412002573292896E-2</v>
      </c>
    </row>
    <row r="170" spans="1:18" ht="14.25" customHeight="1" x14ac:dyDescent="0.3">
      <c r="A170" s="3" t="s">
        <v>231</v>
      </c>
      <c r="B170" s="3" t="s">
        <v>25</v>
      </c>
      <c r="C170" s="10">
        <v>45629</v>
      </c>
      <c r="D170" s="3" t="s">
        <v>59</v>
      </c>
      <c r="E170" s="3" t="s">
        <v>143</v>
      </c>
      <c r="F170" s="19">
        <v>3809</v>
      </c>
      <c r="G170" s="19">
        <v>273</v>
      </c>
      <c r="H170" s="19">
        <v>200</v>
      </c>
      <c r="I170" s="19">
        <v>34281</v>
      </c>
      <c r="J170" s="19">
        <v>33534</v>
      </c>
      <c r="K170" s="19">
        <v>83</v>
      </c>
      <c r="L170" s="19">
        <f t="shared" si="4"/>
        <v>4282</v>
      </c>
      <c r="M170" s="4" t="s">
        <v>33</v>
      </c>
      <c r="N170" s="3" t="s">
        <v>33</v>
      </c>
      <c r="O170" s="3"/>
      <c r="P170" s="10"/>
      <c r="Q170" s="3" t="s">
        <v>18</v>
      </c>
      <c r="R170" s="67">
        <f t="shared" si="5"/>
        <v>0.12490884163239112</v>
      </c>
    </row>
    <row r="171" spans="1:18" ht="14.25" customHeight="1" x14ac:dyDescent="0.3">
      <c r="A171" s="3" t="s">
        <v>232</v>
      </c>
      <c r="B171" s="3" t="s">
        <v>14</v>
      </c>
      <c r="C171" s="10">
        <v>45775</v>
      </c>
      <c r="D171" s="3" t="s">
        <v>20</v>
      </c>
      <c r="E171" s="3" t="s">
        <v>21</v>
      </c>
      <c r="F171" s="19">
        <v>3577</v>
      </c>
      <c r="G171" s="19">
        <v>596</v>
      </c>
      <c r="H171" s="19">
        <v>493</v>
      </c>
      <c r="I171" s="19">
        <v>67963</v>
      </c>
      <c r="J171" s="19">
        <v>67839</v>
      </c>
      <c r="K171" s="19">
        <v>53</v>
      </c>
      <c r="L171" s="19">
        <f t="shared" si="4"/>
        <v>4666</v>
      </c>
      <c r="M171" s="4" t="s">
        <v>27</v>
      </c>
      <c r="N171" s="3" t="s">
        <v>27</v>
      </c>
      <c r="O171" s="3"/>
      <c r="P171" s="10"/>
      <c r="Q171" s="3" t="s">
        <v>28</v>
      </c>
      <c r="R171" s="67">
        <f t="shared" si="5"/>
        <v>6.8655003457763777E-2</v>
      </c>
    </row>
    <row r="172" spans="1:18" ht="14.25" customHeight="1" x14ac:dyDescent="0.3">
      <c r="A172" s="3" t="s">
        <v>233</v>
      </c>
      <c r="B172" s="3" t="s">
        <v>25</v>
      </c>
      <c r="C172" s="10">
        <v>45657</v>
      </c>
      <c r="D172" s="3" t="s">
        <v>59</v>
      </c>
      <c r="E172" s="3" t="s">
        <v>143</v>
      </c>
      <c r="F172" s="19">
        <v>1018</v>
      </c>
      <c r="G172" s="19">
        <v>447</v>
      </c>
      <c r="H172" s="19">
        <v>332</v>
      </c>
      <c r="I172" s="19">
        <v>18324</v>
      </c>
      <c r="J172" s="19">
        <v>18164</v>
      </c>
      <c r="K172" s="19">
        <v>38</v>
      </c>
      <c r="L172" s="19">
        <f t="shared" si="4"/>
        <v>1797</v>
      </c>
      <c r="M172" s="4" t="s">
        <v>51</v>
      </c>
      <c r="N172" s="3" t="s">
        <v>51</v>
      </c>
      <c r="O172" s="3"/>
      <c r="P172" s="10"/>
      <c r="Q172" s="3" t="s">
        <v>23</v>
      </c>
      <c r="R172" s="67">
        <f t="shared" si="5"/>
        <v>9.8068107400130972E-2</v>
      </c>
    </row>
    <row r="173" spans="1:18" ht="14.25" customHeight="1" x14ac:dyDescent="0.3">
      <c r="A173" s="3" t="s">
        <v>234</v>
      </c>
      <c r="B173" s="3" t="s">
        <v>38</v>
      </c>
      <c r="C173" s="10">
        <v>45518</v>
      </c>
      <c r="D173" s="3" t="s">
        <v>39</v>
      </c>
      <c r="E173" s="3" t="s">
        <v>40</v>
      </c>
      <c r="F173" s="19">
        <v>3073</v>
      </c>
      <c r="G173" s="19">
        <v>553</v>
      </c>
      <c r="H173" s="19">
        <v>174</v>
      </c>
      <c r="I173" s="19">
        <v>52241</v>
      </c>
      <c r="J173" s="19">
        <v>51605</v>
      </c>
      <c r="K173" s="19">
        <v>246</v>
      </c>
      <c r="L173" s="19">
        <f t="shared" si="4"/>
        <v>3800</v>
      </c>
      <c r="M173" s="4" t="s">
        <v>33</v>
      </c>
      <c r="N173" s="3" t="s">
        <v>33</v>
      </c>
      <c r="O173" s="3"/>
      <c r="P173" s="10"/>
      <c r="Q173" s="3" t="s">
        <v>28</v>
      </c>
      <c r="R173" s="67">
        <f t="shared" si="5"/>
        <v>7.2739802071170159E-2</v>
      </c>
    </row>
    <row r="174" spans="1:18" ht="14.25" customHeight="1" x14ac:dyDescent="0.3">
      <c r="A174" s="3" t="s">
        <v>235</v>
      </c>
      <c r="B174" s="3" t="s">
        <v>14</v>
      </c>
      <c r="C174" s="10">
        <v>45631</v>
      </c>
      <c r="D174" s="3" t="s">
        <v>59</v>
      </c>
      <c r="E174" s="3" t="s">
        <v>99</v>
      </c>
      <c r="F174" s="19">
        <v>1330</v>
      </c>
      <c r="G174" s="19">
        <v>925</v>
      </c>
      <c r="H174" s="19">
        <v>35</v>
      </c>
      <c r="I174" s="19">
        <v>15960</v>
      </c>
      <c r="J174" s="19">
        <v>15379</v>
      </c>
      <c r="K174" s="19">
        <v>229</v>
      </c>
      <c r="L174" s="19">
        <f t="shared" si="4"/>
        <v>2290</v>
      </c>
      <c r="M174" s="4" t="s">
        <v>51</v>
      </c>
      <c r="N174" s="3" t="s">
        <v>51</v>
      </c>
      <c r="O174" s="3"/>
      <c r="P174" s="10"/>
      <c r="Q174" s="3" t="s">
        <v>28</v>
      </c>
      <c r="R174" s="67">
        <f t="shared" si="5"/>
        <v>0.14348370927318296</v>
      </c>
    </row>
    <row r="175" spans="1:18" ht="14.25" customHeight="1" x14ac:dyDescent="0.3">
      <c r="A175" s="3" t="s">
        <v>236</v>
      </c>
      <c r="B175" s="3" t="s">
        <v>38</v>
      </c>
      <c r="C175" s="10">
        <v>45465</v>
      </c>
      <c r="D175" s="3" t="s">
        <v>20</v>
      </c>
      <c r="E175" s="3" t="s">
        <v>47</v>
      </c>
      <c r="F175" s="19">
        <v>3828</v>
      </c>
      <c r="G175" s="19">
        <v>148</v>
      </c>
      <c r="H175" s="19">
        <v>253</v>
      </c>
      <c r="I175" s="19">
        <v>30624</v>
      </c>
      <c r="J175" s="19">
        <v>30229</v>
      </c>
      <c r="K175" s="19">
        <v>235</v>
      </c>
      <c r="L175" s="19">
        <f t="shared" si="4"/>
        <v>4229</v>
      </c>
      <c r="M175" s="4" t="s">
        <v>33</v>
      </c>
      <c r="N175" s="3" t="s">
        <v>33</v>
      </c>
      <c r="O175" s="3"/>
      <c r="P175" s="10"/>
      <c r="Q175" s="3" t="s">
        <v>397</v>
      </c>
      <c r="R175" s="67">
        <f t="shared" si="5"/>
        <v>0.13809430512016718</v>
      </c>
    </row>
    <row r="176" spans="1:18" ht="14.25" customHeight="1" x14ac:dyDescent="0.3">
      <c r="A176" s="3" t="s">
        <v>237</v>
      </c>
      <c r="B176" s="3" t="s">
        <v>30</v>
      </c>
      <c r="C176" s="10">
        <v>45674</v>
      </c>
      <c r="D176" s="3" t="s">
        <v>15</v>
      </c>
      <c r="E176" s="3" t="s">
        <v>64</v>
      </c>
      <c r="F176" s="19">
        <v>142</v>
      </c>
      <c r="G176" s="19">
        <v>784</v>
      </c>
      <c r="H176" s="19">
        <v>183</v>
      </c>
      <c r="I176" s="19">
        <v>1704</v>
      </c>
      <c r="J176" s="19">
        <v>995</v>
      </c>
      <c r="K176" s="19">
        <v>154</v>
      </c>
      <c r="L176" s="19">
        <f t="shared" si="4"/>
        <v>1109</v>
      </c>
      <c r="M176" s="4" t="s">
        <v>51</v>
      </c>
      <c r="N176" s="3" t="s">
        <v>51</v>
      </c>
      <c r="O176" s="3"/>
      <c r="P176" s="10"/>
      <c r="Q176" s="3" t="s">
        <v>34</v>
      </c>
      <c r="R176" s="67">
        <f t="shared" si="5"/>
        <v>0.6508215962441315</v>
      </c>
    </row>
    <row r="177" spans="1:18" ht="14.25" customHeight="1" x14ac:dyDescent="0.3">
      <c r="A177" s="3" t="s">
        <v>238</v>
      </c>
      <c r="B177" s="3" t="s">
        <v>38</v>
      </c>
      <c r="C177" s="10">
        <v>45463</v>
      </c>
      <c r="D177" s="3" t="s">
        <v>59</v>
      </c>
      <c r="E177" s="3" t="s">
        <v>60</v>
      </c>
      <c r="F177" s="19">
        <v>3798</v>
      </c>
      <c r="G177" s="19">
        <v>31</v>
      </c>
      <c r="H177" s="19">
        <v>279</v>
      </c>
      <c r="I177" s="19">
        <v>75960</v>
      </c>
      <c r="J177" s="19">
        <v>75813</v>
      </c>
      <c r="K177" s="19">
        <v>266</v>
      </c>
      <c r="L177" s="19">
        <f t="shared" si="4"/>
        <v>4108</v>
      </c>
      <c r="M177" s="4" t="s">
        <v>27</v>
      </c>
      <c r="N177" s="3" t="s">
        <v>27</v>
      </c>
      <c r="O177" s="3"/>
      <c r="P177" s="10"/>
      <c r="Q177" s="3" t="s">
        <v>18</v>
      </c>
      <c r="R177" s="67">
        <f t="shared" si="5"/>
        <v>5.4081095313322801E-2</v>
      </c>
    </row>
    <row r="178" spans="1:18" ht="14.25" customHeight="1" x14ac:dyDescent="0.3">
      <c r="A178" s="3" t="s">
        <v>239</v>
      </c>
      <c r="B178" s="3" t="s">
        <v>30</v>
      </c>
      <c r="C178" s="10">
        <v>45483</v>
      </c>
      <c r="D178" s="3" t="s">
        <v>39</v>
      </c>
      <c r="E178" s="3" t="s">
        <v>68</v>
      </c>
      <c r="F178" s="19">
        <v>3099</v>
      </c>
      <c r="G178" s="19">
        <v>694</v>
      </c>
      <c r="H178" s="19">
        <v>171</v>
      </c>
      <c r="I178" s="19">
        <v>43386</v>
      </c>
      <c r="J178" s="19">
        <v>42921</v>
      </c>
      <c r="K178" s="19">
        <v>52</v>
      </c>
      <c r="L178" s="19">
        <f t="shared" si="4"/>
        <v>3964</v>
      </c>
      <c r="M178" s="4" t="s">
        <v>27</v>
      </c>
      <c r="N178" s="3" t="s">
        <v>27</v>
      </c>
      <c r="O178" s="3"/>
      <c r="P178" s="10"/>
      <c r="Q178" s="3" t="s">
        <v>28</v>
      </c>
      <c r="R178" s="67">
        <f t="shared" si="5"/>
        <v>9.1365878393951966E-2</v>
      </c>
    </row>
    <row r="179" spans="1:18" ht="14.25" customHeight="1" x14ac:dyDescent="0.3">
      <c r="A179" s="3" t="s">
        <v>240</v>
      </c>
      <c r="B179" s="3" t="s">
        <v>30</v>
      </c>
      <c r="C179" s="10">
        <v>45603</v>
      </c>
      <c r="D179" s="3" t="s">
        <v>59</v>
      </c>
      <c r="E179" s="3" t="s">
        <v>66</v>
      </c>
      <c r="F179" s="19">
        <v>129</v>
      </c>
      <c r="G179" s="19">
        <v>643</v>
      </c>
      <c r="H179" s="19">
        <v>136</v>
      </c>
      <c r="I179" s="19">
        <v>1290</v>
      </c>
      <c r="J179" s="19">
        <v>839</v>
      </c>
      <c r="K179" s="19">
        <v>238</v>
      </c>
      <c r="L179" s="19">
        <f t="shared" si="4"/>
        <v>908</v>
      </c>
      <c r="M179" s="4" t="s">
        <v>27</v>
      </c>
      <c r="N179" s="3" t="s">
        <v>27</v>
      </c>
      <c r="O179" s="3"/>
      <c r="P179" s="10"/>
      <c r="Q179" s="3" t="s">
        <v>34</v>
      </c>
      <c r="R179" s="67">
        <f t="shared" si="5"/>
        <v>0.70387596899224802</v>
      </c>
    </row>
    <row r="180" spans="1:18" ht="14.25" customHeight="1" x14ac:dyDescent="0.3">
      <c r="A180" s="3" t="s">
        <v>241</v>
      </c>
      <c r="B180" s="3" t="s">
        <v>38</v>
      </c>
      <c r="C180" s="10">
        <v>45488</v>
      </c>
      <c r="D180" s="3" t="s">
        <v>39</v>
      </c>
      <c r="E180" s="3" t="s">
        <v>40</v>
      </c>
      <c r="F180" s="19">
        <v>3796</v>
      </c>
      <c r="G180" s="19">
        <v>667</v>
      </c>
      <c r="H180" s="19">
        <v>395</v>
      </c>
      <c r="I180" s="19">
        <v>64532</v>
      </c>
      <c r="J180" s="19">
        <v>63550</v>
      </c>
      <c r="K180" s="19">
        <v>292</v>
      </c>
      <c r="L180" s="19">
        <f t="shared" si="4"/>
        <v>4858</v>
      </c>
      <c r="M180" s="4" t="s">
        <v>27</v>
      </c>
      <c r="N180" s="3" t="s">
        <v>27</v>
      </c>
      <c r="O180" s="3"/>
      <c r="P180" s="10"/>
      <c r="Q180" s="3" t="s">
        <v>397</v>
      </c>
      <c r="R180" s="67">
        <f t="shared" si="5"/>
        <v>7.5280481001673588E-2</v>
      </c>
    </row>
    <row r="181" spans="1:18" ht="14.25" customHeight="1" x14ac:dyDescent="0.3">
      <c r="A181" s="3" t="s">
        <v>242</v>
      </c>
      <c r="B181" s="3" t="s">
        <v>25</v>
      </c>
      <c r="C181" s="10">
        <v>45629</v>
      </c>
      <c r="D181" s="3" t="s">
        <v>20</v>
      </c>
      <c r="E181" s="3" t="s">
        <v>77</v>
      </c>
      <c r="F181" s="19">
        <v>3711</v>
      </c>
      <c r="G181" s="19">
        <v>352</v>
      </c>
      <c r="H181" s="19">
        <v>290</v>
      </c>
      <c r="I181" s="19">
        <v>48243</v>
      </c>
      <c r="J181" s="19">
        <v>47579</v>
      </c>
      <c r="K181" s="19">
        <v>11</v>
      </c>
      <c r="L181" s="19">
        <f t="shared" si="4"/>
        <v>4353</v>
      </c>
      <c r="M181" s="4" t="s">
        <v>27</v>
      </c>
      <c r="N181" s="3" t="s">
        <v>27</v>
      </c>
      <c r="O181" s="3"/>
      <c r="P181" s="10"/>
      <c r="Q181" s="3" t="s">
        <v>18</v>
      </c>
      <c r="R181" s="67">
        <f t="shared" si="5"/>
        <v>9.023070704558174E-2</v>
      </c>
    </row>
    <row r="182" spans="1:18" ht="14.25" customHeight="1" x14ac:dyDescent="0.3">
      <c r="A182" s="3" t="s">
        <v>243</v>
      </c>
      <c r="B182" s="3" t="s">
        <v>25</v>
      </c>
      <c r="C182" s="10">
        <v>45737</v>
      </c>
      <c r="D182" s="3" t="s">
        <v>44</v>
      </c>
      <c r="E182" s="3" t="s">
        <v>45</v>
      </c>
      <c r="F182" s="19">
        <v>606</v>
      </c>
      <c r="G182" s="19">
        <v>789</v>
      </c>
      <c r="H182" s="19">
        <v>470</v>
      </c>
      <c r="I182" s="19">
        <v>7878</v>
      </c>
      <c r="J182" s="19">
        <v>7389</v>
      </c>
      <c r="K182" s="19">
        <v>239</v>
      </c>
      <c r="L182" s="19">
        <f t="shared" si="4"/>
        <v>1865</v>
      </c>
      <c r="M182" s="4" t="s">
        <v>33</v>
      </c>
      <c r="N182" s="3" t="s">
        <v>33</v>
      </c>
      <c r="O182" s="3"/>
      <c r="P182" s="10"/>
      <c r="Q182" s="3" t="s">
        <v>28</v>
      </c>
      <c r="R182" s="67">
        <f t="shared" si="5"/>
        <v>0.23673521198273673</v>
      </c>
    </row>
    <row r="183" spans="1:18" ht="14.25" customHeight="1" x14ac:dyDescent="0.3">
      <c r="A183" s="3" t="s">
        <v>244</v>
      </c>
      <c r="B183" s="3" t="s">
        <v>38</v>
      </c>
      <c r="C183" s="10">
        <v>45504</v>
      </c>
      <c r="D183" s="3" t="s">
        <v>44</v>
      </c>
      <c r="E183" s="3" t="s">
        <v>49</v>
      </c>
      <c r="F183" s="19">
        <v>4689</v>
      </c>
      <c r="G183" s="19">
        <v>134</v>
      </c>
      <c r="H183" s="19">
        <v>403</v>
      </c>
      <c r="I183" s="19">
        <v>51579</v>
      </c>
      <c r="J183" s="19">
        <v>50924</v>
      </c>
      <c r="K183" s="19">
        <v>173</v>
      </c>
      <c r="L183" s="19">
        <f t="shared" si="4"/>
        <v>5226</v>
      </c>
      <c r="M183" s="4" t="s">
        <v>27</v>
      </c>
      <c r="N183" s="3" t="s">
        <v>27</v>
      </c>
      <c r="O183" s="3"/>
      <c r="P183" s="10"/>
      <c r="Q183" s="3" t="s">
        <v>34</v>
      </c>
      <c r="R183" s="67">
        <f t="shared" si="5"/>
        <v>0.10132030477519921</v>
      </c>
    </row>
    <row r="184" spans="1:18" ht="14.25" customHeight="1" x14ac:dyDescent="0.3">
      <c r="A184" s="3" t="s">
        <v>245</v>
      </c>
      <c r="B184" s="3" t="s">
        <v>30</v>
      </c>
      <c r="C184" s="10">
        <v>45643</v>
      </c>
      <c r="D184" s="3" t="s">
        <v>31</v>
      </c>
      <c r="E184" s="3" t="s">
        <v>32</v>
      </c>
      <c r="F184" s="19">
        <v>360</v>
      </c>
      <c r="G184" s="19">
        <v>590</v>
      </c>
      <c r="H184" s="19">
        <v>393</v>
      </c>
      <c r="I184" s="19">
        <v>4680</v>
      </c>
      <c r="J184" s="19">
        <v>4322</v>
      </c>
      <c r="K184" s="19">
        <v>208</v>
      </c>
      <c r="L184" s="19">
        <f t="shared" si="4"/>
        <v>1343</v>
      </c>
      <c r="M184" s="4" t="s">
        <v>51</v>
      </c>
      <c r="N184" s="3" t="s">
        <v>51</v>
      </c>
      <c r="O184" s="3"/>
      <c r="P184" s="10"/>
      <c r="Q184" s="3" t="s">
        <v>23</v>
      </c>
      <c r="R184" s="67">
        <f t="shared" si="5"/>
        <v>0.28696581196581195</v>
      </c>
    </row>
    <row r="185" spans="1:18" ht="14.25" customHeight="1" x14ac:dyDescent="0.3">
      <c r="A185" s="3" t="s">
        <v>246</v>
      </c>
      <c r="B185" s="3" t="s">
        <v>14</v>
      </c>
      <c r="C185" s="10">
        <v>45501</v>
      </c>
      <c r="D185" s="3" t="s">
        <v>44</v>
      </c>
      <c r="E185" s="3" t="s">
        <v>92</v>
      </c>
      <c r="F185" s="19">
        <v>3215</v>
      </c>
      <c r="G185" s="19">
        <v>960</v>
      </c>
      <c r="H185" s="19">
        <v>202</v>
      </c>
      <c r="I185" s="19">
        <v>32150</v>
      </c>
      <c r="J185" s="19">
        <v>31404</v>
      </c>
      <c r="K185" s="19">
        <v>251</v>
      </c>
      <c r="L185" s="19">
        <f t="shared" si="4"/>
        <v>4377</v>
      </c>
      <c r="M185" s="4" t="s">
        <v>33</v>
      </c>
      <c r="N185" s="3" t="s">
        <v>33</v>
      </c>
      <c r="O185" s="3"/>
      <c r="P185" s="10"/>
      <c r="Q185" s="3" t="s">
        <v>18</v>
      </c>
      <c r="R185" s="67">
        <f t="shared" si="5"/>
        <v>0.13614307931570763</v>
      </c>
    </row>
    <row r="186" spans="1:18" ht="14.25" customHeight="1" x14ac:dyDescent="0.3">
      <c r="A186" s="3" t="s">
        <v>247</v>
      </c>
      <c r="B186" s="3" t="s">
        <v>30</v>
      </c>
      <c r="C186" s="10">
        <v>45668</v>
      </c>
      <c r="D186" s="3" t="s">
        <v>39</v>
      </c>
      <c r="E186" s="3" t="s">
        <v>68</v>
      </c>
      <c r="F186" s="19">
        <v>4523</v>
      </c>
      <c r="G186" s="19">
        <v>61</v>
      </c>
      <c r="H186" s="19">
        <v>157</v>
      </c>
      <c r="I186" s="19">
        <v>49753</v>
      </c>
      <c r="J186" s="19">
        <v>49329</v>
      </c>
      <c r="K186" s="19">
        <v>71</v>
      </c>
      <c r="L186" s="19">
        <f t="shared" si="4"/>
        <v>4741</v>
      </c>
      <c r="M186" s="4" t="s">
        <v>33</v>
      </c>
      <c r="N186" s="3" t="s">
        <v>33</v>
      </c>
      <c r="O186" s="3"/>
      <c r="P186" s="10"/>
      <c r="Q186" s="3" t="s">
        <v>397</v>
      </c>
      <c r="R186" s="67">
        <f t="shared" si="5"/>
        <v>9.5290736237010829E-2</v>
      </c>
    </row>
    <row r="187" spans="1:18" ht="14.25" customHeight="1" x14ac:dyDescent="0.3">
      <c r="A187" s="3" t="s">
        <v>248</v>
      </c>
      <c r="B187" s="3" t="s">
        <v>38</v>
      </c>
      <c r="C187" s="10">
        <v>45528</v>
      </c>
      <c r="D187" s="3" t="s">
        <v>39</v>
      </c>
      <c r="E187" s="3" t="s">
        <v>40</v>
      </c>
      <c r="F187" s="19">
        <v>4292</v>
      </c>
      <c r="G187" s="19">
        <v>51</v>
      </c>
      <c r="H187" s="19">
        <v>392</v>
      </c>
      <c r="I187" s="19">
        <v>55796</v>
      </c>
      <c r="J187" s="19">
        <v>54826</v>
      </c>
      <c r="K187" s="19">
        <v>264</v>
      </c>
      <c r="L187" s="19">
        <f t="shared" si="4"/>
        <v>4735</v>
      </c>
      <c r="M187" s="4" t="s">
        <v>33</v>
      </c>
      <c r="N187" s="3" t="s">
        <v>33</v>
      </c>
      <c r="O187" s="3"/>
      <c r="P187" s="10"/>
      <c r="Q187" s="3" t="s">
        <v>28</v>
      </c>
      <c r="R187" s="67">
        <f t="shared" si="5"/>
        <v>8.4862714173059003E-2</v>
      </c>
    </row>
    <row r="188" spans="1:18" ht="14.25" customHeight="1" x14ac:dyDescent="0.3">
      <c r="A188" s="3" t="s">
        <v>249</v>
      </c>
      <c r="B188" s="3" t="s">
        <v>14</v>
      </c>
      <c r="C188" s="10">
        <v>45648</v>
      </c>
      <c r="D188" s="3" t="s">
        <v>15</v>
      </c>
      <c r="E188" s="3" t="s">
        <v>16</v>
      </c>
      <c r="F188" s="19">
        <v>1644</v>
      </c>
      <c r="G188" s="19">
        <v>546</v>
      </c>
      <c r="H188" s="19">
        <v>150</v>
      </c>
      <c r="I188" s="19">
        <v>27948</v>
      </c>
      <c r="J188" s="19">
        <v>27184</v>
      </c>
      <c r="K188" s="19">
        <v>300</v>
      </c>
      <c r="L188" s="19">
        <f t="shared" si="4"/>
        <v>2340</v>
      </c>
      <c r="M188" s="4" t="s">
        <v>33</v>
      </c>
      <c r="N188" s="3" t="s">
        <v>33</v>
      </c>
      <c r="O188" s="3"/>
      <c r="P188" s="10"/>
      <c r="Q188" s="3" t="s">
        <v>28</v>
      </c>
      <c r="R188" s="67">
        <f t="shared" si="5"/>
        <v>8.3726921425504502E-2</v>
      </c>
    </row>
    <row r="189" spans="1:18" ht="14.25" customHeight="1" x14ac:dyDescent="0.3">
      <c r="A189" s="3" t="s">
        <v>250</v>
      </c>
      <c r="B189" s="3" t="s">
        <v>25</v>
      </c>
      <c r="C189" s="10">
        <v>45449</v>
      </c>
      <c r="D189" s="3" t="s">
        <v>15</v>
      </c>
      <c r="E189" s="3" t="s">
        <v>26</v>
      </c>
      <c r="F189" s="19">
        <v>2728</v>
      </c>
      <c r="G189" s="19">
        <v>533</v>
      </c>
      <c r="H189" s="19">
        <v>215</v>
      </c>
      <c r="I189" s="19">
        <v>40920</v>
      </c>
      <c r="J189" s="19">
        <v>40816</v>
      </c>
      <c r="K189" s="19">
        <v>137</v>
      </c>
      <c r="L189" s="19">
        <f t="shared" si="4"/>
        <v>3476</v>
      </c>
      <c r="M189" s="4" t="s">
        <v>51</v>
      </c>
      <c r="N189" s="3" t="s">
        <v>51</v>
      </c>
      <c r="O189" s="3"/>
      <c r="P189" s="10"/>
      <c r="Q189" s="3" t="s">
        <v>23</v>
      </c>
      <c r="R189" s="67">
        <f t="shared" si="5"/>
        <v>8.4946236559139784E-2</v>
      </c>
    </row>
    <row r="190" spans="1:18" ht="14.25" customHeight="1" x14ac:dyDescent="0.3">
      <c r="A190" s="3" t="s">
        <v>251</v>
      </c>
      <c r="B190" s="3" t="s">
        <v>38</v>
      </c>
      <c r="C190" s="10">
        <v>45740</v>
      </c>
      <c r="D190" s="3" t="s">
        <v>15</v>
      </c>
      <c r="E190" s="3" t="s">
        <v>53</v>
      </c>
      <c r="F190" s="19">
        <v>3360</v>
      </c>
      <c r="G190" s="19">
        <v>525</v>
      </c>
      <c r="H190" s="19">
        <v>500</v>
      </c>
      <c r="I190" s="19">
        <v>60480</v>
      </c>
      <c r="J190" s="19">
        <v>59610</v>
      </c>
      <c r="K190" s="19">
        <v>192</v>
      </c>
      <c r="L190" s="19">
        <f t="shared" si="4"/>
        <v>4385</v>
      </c>
      <c r="M190" s="4" t="s">
        <v>27</v>
      </c>
      <c r="N190" s="3" t="s">
        <v>27</v>
      </c>
      <c r="O190" s="3"/>
      <c r="P190" s="10"/>
      <c r="Q190" s="3" t="s">
        <v>18</v>
      </c>
      <c r="R190" s="67">
        <f t="shared" si="5"/>
        <v>7.2503306878306875E-2</v>
      </c>
    </row>
    <row r="191" spans="1:18" ht="14.25" customHeight="1" x14ac:dyDescent="0.3">
      <c r="A191" s="3" t="s">
        <v>252</v>
      </c>
      <c r="B191" s="3" t="s">
        <v>25</v>
      </c>
      <c r="C191" s="10">
        <v>45569</v>
      </c>
      <c r="D191" s="3" t="s">
        <v>20</v>
      </c>
      <c r="E191" s="3" t="s">
        <v>77</v>
      </c>
      <c r="F191" s="19">
        <v>1963</v>
      </c>
      <c r="G191" s="19">
        <v>213</v>
      </c>
      <c r="H191" s="19">
        <v>19</v>
      </c>
      <c r="I191" s="19">
        <v>39260</v>
      </c>
      <c r="J191" s="19">
        <v>38771</v>
      </c>
      <c r="K191" s="19">
        <v>145</v>
      </c>
      <c r="L191" s="19">
        <f t="shared" si="4"/>
        <v>2195</v>
      </c>
      <c r="M191" s="4" t="s">
        <v>51</v>
      </c>
      <c r="N191" s="3" t="s">
        <v>51</v>
      </c>
      <c r="O191" s="3"/>
      <c r="P191" s="10"/>
      <c r="Q191" s="3" t="s">
        <v>397</v>
      </c>
      <c r="R191" s="67">
        <f t="shared" si="5"/>
        <v>5.5909322465613857E-2</v>
      </c>
    </row>
    <row r="192" spans="1:18" ht="14.25" customHeight="1" x14ac:dyDescent="0.3">
      <c r="A192" s="3" t="s">
        <v>253</v>
      </c>
      <c r="B192" s="3" t="s">
        <v>25</v>
      </c>
      <c r="C192" s="10">
        <v>45629</v>
      </c>
      <c r="D192" s="3" t="s">
        <v>31</v>
      </c>
      <c r="E192" s="3" t="s">
        <v>105</v>
      </c>
      <c r="F192" s="19">
        <v>4285</v>
      </c>
      <c r="G192" s="19">
        <v>886</v>
      </c>
      <c r="H192" s="19">
        <v>376</v>
      </c>
      <c r="I192" s="19">
        <v>55705</v>
      </c>
      <c r="J192" s="19">
        <v>55556</v>
      </c>
      <c r="K192" s="19">
        <v>51</v>
      </c>
      <c r="L192" s="19">
        <f t="shared" si="4"/>
        <v>5547</v>
      </c>
      <c r="M192" s="4" t="s">
        <v>51</v>
      </c>
      <c r="N192" s="3" t="s">
        <v>51</v>
      </c>
      <c r="O192" s="3"/>
      <c r="P192" s="10"/>
      <c r="Q192" s="3" t="s">
        <v>28</v>
      </c>
      <c r="R192" s="67">
        <f t="shared" si="5"/>
        <v>9.9578134817341346E-2</v>
      </c>
    </row>
    <row r="193" spans="1:18" ht="14.25" customHeight="1" x14ac:dyDescent="0.3">
      <c r="A193" s="3" t="s">
        <v>254</v>
      </c>
      <c r="B193" s="3" t="s">
        <v>30</v>
      </c>
      <c r="C193" s="10">
        <v>45625</v>
      </c>
      <c r="D193" s="3" t="s">
        <v>59</v>
      </c>
      <c r="E193" s="3" t="s">
        <v>66</v>
      </c>
      <c r="F193" s="19">
        <v>1176</v>
      </c>
      <c r="G193" s="19">
        <v>464</v>
      </c>
      <c r="H193" s="19">
        <v>394</v>
      </c>
      <c r="I193" s="19">
        <v>14112</v>
      </c>
      <c r="J193" s="19">
        <v>13588</v>
      </c>
      <c r="K193" s="19">
        <v>272</v>
      </c>
      <c r="L193" s="19">
        <f t="shared" si="4"/>
        <v>2034</v>
      </c>
      <c r="M193" s="4" t="s">
        <v>33</v>
      </c>
      <c r="N193" s="3" t="s">
        <v>33</v>
      </c>
      <c r="O193" s="3"/>
      <c r="P193" s="10"/>
      <c r="Q193" s="3" t="s">
        <v>397</v>
      </c>
      <c r="R193" s="67">
        <f t="shared" si="5"/>
        <v>0.1441326530612245</v>
      </c>
    </row>
    <row r="194" spans="1:18" ht="14.25" customHeight="1" x14ac:dyDescent="0.3">
      <c r="A194" s="3" t="s">
        <v>255</v>
      </c>
      <c r="B194" s="3" t="s">
        <v>14</v>
      </c>
      <c r="C194" s="10">
        <v>45546</v>
      </c>
      <c r="D194" s="3" t="s">
        <v>44</v>
      </c>
      <c r="E194" s="3" t="s">
        <v>92</v>
      </c>
      <c r="F194" s="19">
        <v>4858</v>
      </c>
      <c r="G194" s="19">
        <v>317</v>
      </c>
      <c r="H194" s="19">
        <v>129</v>
      </c>
      <c r="I194" s="19">
        <v>53438</v>
      </c>
      <c r="J194" s="19">
        <v>52687</v>
      </c>
      <c r="K194" s="19">
        <v>223</v>
      </c>
      <c r="L194" s="19">
        <f t="shared" si="4"/>
        <v>5304</v>
      </c>
      <c r="M194" s="4" t="s">
        <v>33</v>
      </c>
      <c r="N194" s="3" t="s">
        <v>33</v>
      </c>
      <c r="O194" s="3"/>
      <c r="P194" s="10"/>
      <c r="Q194" s="3" t="s">
        <v>28</v>
      </c>
      <c r="R194" s="67">
        <f t="shared" si="5"/>
        <v>9.9255211647142488E-2</v>
      </c>
    </row>
    <row r="195" spans="1:18" ht="14.25" customHeight="1" x14ac:dyDescent="0.3">
      <c r="A195" s="3" t="s">
        <v>256</v>
      </c>
      <c r="B195" s="3" t="s">
        <v>25</v>
      </c>
      <c r="C195" s="10">
        <v>45567</v>
      </c>
      <c r="D195" s="3" t="s">
        <v>31</v>
      </c>
      <c r="E195" s="3" t="s">
        <v>105</v>
      </c>
      <c r="F195" s="19">
        <v>4350</v>
      </c>
      <c r="G195" s="19">
        <v>771</v>
      </c>
      <c r="H195" s="19">
        <v>7</v>
      </c>
      <c r="I195" s="19">
        <v>60900</v>
      </c>
      <c r="J195" s="19">
        <v>60592</v>
      </c>
      <c r="K195" s="19">
        <v>195</v>
      </c>
      <c r="L195" s="19">
        <f t="shared" ref="L195:L258" si="6">SUM($F195:$H195)</f>
        <v>5128</v>
      </c>
      <c r="M195" s="4" t="s">
        <v>33</v>
      </c>
      <c r="N195" s="3" t="s">
        <v>33</v>
      </c>
      <c r="O195" s="3"/>
      <c r="P195" s="10"/>
      <c r="Q195" s="3" t="s">
        <v>18</v>
      </c>
      <c r="R195" s="67">
        <f t="shared" ref="R195:R258" si="7">SUM(F195:H195)/I195</f>
        <v>8.4203612479474554E-2</v>
      </c>
    </row>
    <row r="196" spans="1:18" ht="14.25" customHeight="1" x14ac:dyDescent="0.3">
      <c r="A196" s="3" t="s">
        <v>257</v>
      </c>
      <c r="B196" s="3" t="s">
        <v>30</v>
      </c>
      <c r="C196" s="10">
        <v>45519</v>
      </c>
      <c r="D196" s="3" t="s">
        <v>39</v>
      </c>
      <c r="E196" s="3" t="s">
        <v>68</v>
      </c>
      <c r="F196" s="19">
        <v>914</v>
      </c>
      <c r="G196" s="19">
        <v>464</v>
      </c>
      <c r="H196" s="19">
        <v>246</v>
      </c>
      <c r="I196" s="19">
        <v>11882</v>
      </c>
      <c r="J196" s="19">
        <v>11500</v>
      </c>
      <c r="K196" s="19">
        <v>282</v>
      </c>
      <c r="L196" s="19">
        <f t="shared" si="6"/>
        <v>1624</v>
      </c>
      <c r="M196" s="4" t="s">
        <v>141</v>
      </c>
      <c r="N196" s="3" t="s">
        <v>51</v>
      </c>
      <c r="O196" s="3" t="s">
        <v>27</v>
      </c>
      <c r="P196" s="10" t="s">
        <v>392</v>
      </c>
      <c r="Q196" s="3" t="s">
        <v>34</v>
      </c>
      <c r="R196" s="67">
        <f t="shared" si="7"/>
        <v>0.13667732704931829</v>
      </c>
    </row>
    <row r="197" spans="1:18" ht="14.25" customHeight="1" x14ac:dyDescent="0.3">
      <c r="A197" s="3" t="s">
        <v>258</v>
      </c>
      <c r="B197" s="3" t="s">
        <v>30</v>
      </c>
      <c r="C197" s="10">
        <v>45645</v>
      </c>
      <c r="D197" s="3" t="s">
        <v>20</v>
      </c>
      <c r="E197" s="3" t="s">
        <v>82</v>
      </c>
      <c r="F197" s="19">
        <v>1813</v>
      </c>
      <c r="G197" s="19">
        <v>623</v>
      </c>
      <c r="H197" s="19">
        <v>72</v>
      </c>
      <c r="I197" s="19">
        <v>19943</v>
      </c>
      <c r="J197" s="19">
        <v>18959</v>
      </c>
      <c r="K197" s="19">
        <v>85</v>
      </c>
      <c r="L197" s="19">
        <f t="shared" si="6"/>
        <v>2508</v>
      </c>
      <c r="M197" s="4" t="s">
        <v>33</v>
      </c>
      <c r="N197" s="3" t="s">
        <v>33</v>
      </c>
      <c r="O197" s="3"/>
      <c r="P197" s="10"/>
      <c r="Q197" s="3" t="s">
        <v>28</v>
      </c>
      <c r="R197" s="67">
        <f t="shared" si="7"/>
        <v>0.12575841147269717</v>
      </c>
    </row>
    <row r="198" spans="1:18" ht="14.25" customHeight="1" x14ac:dyDescent="0.3">
      <c r="A198" s="3" t="s">
        <v>259</v>
      </c>
      <c r="B198" s="3" t="s">
        <v>14</v>
      </c>
      <c r="C198" s="10">
        <v>45587</v>
      </c>
      <c r="D198" s="3" t="s">
        <v>15</v>
      </c>
      <c r="E198" s="3" t="s">
        <v>16</v>
      </c>
      <c r="F198" s="19">
        <v>4782</v>
      </c>
      <c r="G198" s="19">
        <v>721</v>
      </c>
      <c r="H198" s="19">
        <v>82</v>
      </c>
      <c r="I198" s="19">
        <v>86076</v>
      </c>
      <c r="J198" s="19">
        <v>85339</v>
      </c>
      <c r="K198" s="19">
        <v>19</v>
      </c>
      <c r="L198" s="19">
        <f t="shared" si="6"/>
        <v>5585</v>
      </c>
      <c r="M198" s="4" t="s">
        <v>33</v>
      </c>
      <c r="N198" s="3" t="s">
        <v>33</v>
      </c>
      <c r="O198" s="3"/>
      <c r="P198" s="10"/>
      <c r="Q198" s="3" t="s">
        <v>18</v>
      </c>
      <c r="R198" s="67">
        <f t="shared" si="7"/>
        <v>6.4884520656164318E-2</v>
      </c>
    </row>
    <row r="199" spans="1:18" ht="14.25" customHeight="1" x14ac:dyDescent="0.3">
      <c r="A199" s="3" t="s">
        <v>260</v>
      </c>
      <c r="B199" s="3" t="s">
        <v>14</v>
      </c>
      <c r="C199" s="10">
        <v>45549</v>
      </c>
      <c r="D199" s="3" t="s">
        <v>44</v>
      </c>
      <c r="E199" s="3" t="s">
        <v>92</v>
      </c>
      <c r="F199" s="19">
        <v>1048</v>
      </c>
      <c r="G199" s="19">
        <v>374</v>
      </c>
      <c r="H199" s="19">
        <v>450</v>
      </c>
      <c r="I199" s="19">
        <v>9432</v>
      </c>
      <c r="J199" s="19">
        <v>8882</v>
      </c>
      <c r="K199" s="19">
        <v>158</v>
      </c>
      <c r="L199" s="19">
        <f t="shared" si="6"/>
        <v>1872</v>
      </c>
      <c r="M199" s="4" t="s">
        <v>27</v>
      </c>
      <c r="N199" s="3" t="s">
        <v>27</v>
      </c>
      <c r="O199" s="3"/>
      <c r="P199" s="10"/>
      <c r="Q199" s="3" t="s">
        <v>28</v>
      </c>
      <c r="R199" s="67">
        <f t="shared" si="7"/>
        <v>0.19847328244274809</v>
      </c>
    </row>
    <row r="200" spans="1:18" ht="14.25" customHeight="1" x14ac:dyDescent="0.3">
      <c r="A200" s="3" t="s">
        <v>261</v>
      </c>
      <c r="B200" s="3" t="s">
        <v>25</v>
      </c>
      <c r="C200" s="10">
        <v>45626</v>
      </c>
      <c r="D200" s="3" t="s">
        <v>39</v>
      </c>
      <c r="E200" s="3" t="s">
        <v>55</v>
      </c>
      <c r="F200" s="19">
        <v>2509</v>
      </c>
      <c r="G200" s="19">
        <v>324</v>
      </c>
      <c r="H200" s="19">
        <v>171</v>
      </c>
      <c r="I200" s="19">
        <v>35126</v>
      </c>
      <c r="J200" s="19">
        <v>34685</v>
      </c>
      <c r="K200" s="19">
        <v>277</v>
      </c>
      <c r="L200" s="19">
        <f t="shared" si="6"/>
        <v>3004</v>
      </c>
      <c r="M200" s="4" t="s">
        <v>27</v>
      </c>
      <c r="N200" s="3" t="s">
        <v>27</v>
      </c>
      <c r="O200" s="3"/>
      <c r="P200" s="10"/>
      <c r="Q200" s="3" t="s">
        <v>23</v>
      </c>
      <c r="R200" s="67">
        <f t="shared" si="7"/>
        <v>8.5520696919660646E-2</v>
      </c>
    </row>
    <row r="201" spans="1:18" ht="14.25" customHeight="1" x14ac:dyDescent="0.3">
      <c r="A201" s="3" t="s">
        <v>262</v>
      </c>
      <c r="B201" s="3" t="s">
        <v>38</v>
      </c>
      <c r="C201" s="10">
        <v>45754</v>
      </c>
      <c r="D201" s="3" t="s">
        <v>15</v>
      </c>
      <c r="E201" s="3" t="s">
        <v>53</v>
      </c>
      <c r="F201" s="19">
        <v>3718</v>
      </c>
      <c r="G201" s="19">
        <v>385</v>
      </c>
      <c r="H201" s="19">
        <v>310</v>
      </c>
      <c r="I201" s="19">
        <v>70642</v>
      </c>
      <c r="J201" s="19">
        <v>69749</v>
      </c>
      <c r="K201" s="19">
        <v>233</v>
      </c>
      <c r="L201" s="19">
        <f t="shared" si="6"/>
        <v>4413</v>
      </c>
      <c r="M201" s="4" t="s">
        <v>27</v>
      </c>
      <c r="N201" s="3" t="s">
        <v>27</v>
      </c>
      <c r="O201" s="3"/>
      <c r="P201" s="10"/>
      <c r="Q201" s="3" t="s">
        <v>23</v>
      </c>
      <c r="R201" s="67">
        <f t="shared" si="7"/>
        <v>6.246991874522239E-2</v>
      </c>
    </row>
    <row r="202" spans="1:18" ht="14.25" customHeight="1" x14ac:dyDescent="0.3">
      <c r="A202" s="3" t="s">
        <v>263</v>
      </c>
      <c r="B202" s="3" t="s">
        <v>14</v>
      </c>
      <c r="C202" s="10">
        <v>45672</v>
      </c>
      <c r="D202" s="3" t="s">
        <v>15</v>
      </c>
      <c r="E202" s="3" t="s">
        <v>16</v>
      </c>
      <c r="F202" s="19">
        <v>802</v>
      </c>
      <c r="G202" s="19">
        <v>262</v>
      </c>
      <c r="H202" s="19">
        <v>244</v>
      </c>
      <c r="I202" s="19">
        <v>14436</v>
      </c>
      <c r="J202" s="19">
        <v>14280</v>
      </c>
      <c r="K202" s="19">
        <v>49</v>
      </c>
      <c r="L202" s="19">
        <f t="shared" si="6"/>
        <v>1308</v>
      </c>
      <c r="M202" s="4" t="s">
        <v>33</v>
      </c>
      <c r="N202" s="3" t="s">
        <v>33</v>
      </c>
      <c r="O202" s="3"/>
      <c r="P202" s="10"/>
      <c r="Q202" s="3" t="s">
        <v>18</v>
      </c>
      <c r="R202" s="67">
        <f t="shared" si="7"/>
        <v>9.0606816292601824E-2</v>
      </c>
    </row>
    <row r="203" spans="1:18" ht="14.25" customHeight="1" x14ac:dyDescent="0.3">
      <c r="A203" s="3" t="s">
        <v>264</v>
      </c>
      <c r="B203" s="3" t="s">
        <v>38</v>
      </c>
      <c r="C203" s="10">
        <v>45445</v>
      </c>
      <c r="D203" s="3" t="s">
        <v>44</v>
      </c>
      <c r="E203" s="3" t="s">
        <v>49</v>
      </c>
      <c r="F203" s="19">
        <v>1871</v>
      </c>
      <c r="G203" s="19">
        <v>252</v>
      </c>
      <c r="H203" s="19">
        <v>335</v>
      </c>
      <c r="I203" s="19">
        <v>29936</v>
      </c>
      <c r="J203" s="19">
        <v>29576</v>
      </c>
      <c r="K203" s="19">
        <v>288</v>
      </c>
      <c r="L203" s="19">
        <f t="shared" si="6"/>
        <v>2458</v>
      </c>
      <c r="M203" s="4" t="s">
        <v>33</v>
      </c>
      <c r="N203" s="3" t="s">
        <v>33</v>
      </c>
      <c r="O203" s="3"/>
      <c r="P203" s="10"/>
      <c r="Q203" s="3" t="s">
        <v>28</v>
      </c>
      <c r="R203" s="67">
        <f t="shared" si="7"/>
        <v>8.2108498129342594E-2</v>
      </c>
    </row>
    <row r="204" spans="1:18" ht="14.25" customHeight="1" x14ac:dyDescent="0.3">
      <c r="A204" s="3" t="s">
        <v>265</v>
      </c>
      <c r="B204" s="3" t="s">
        <v>30</v>
      </c>
      <c r="C204" s="10">
        <v>45617</v>
      </c>
      <c r="D204" s="3" t="s">
        <v>39</v>
      </c>
      <c r="E204" s="3" t="s">
        <v>68</v>
      </c>
      <c r="F204" s="19">
        <v>3773</v>
      </c>
      <c r="G204" s="19">
        <v>299</v>
      </c>
      <c r="H204" s="19">
        <v>38</v>
      </c>
      <c r="I204" s="19">
        <v>71687</v>
      </c>
      <c r="J204" s="19">
        <v>71447</v>
      </c>
      <c r="K204" s="19">
        <v>286</v>
      </c>
      <c r="L204" s="19">
        <f t="shared" si="6"/>
        <v>4110</v>
      </c>
      <c r="M204" s="4" t="s">
        <v>51</v>
      </c>
      <c r="N204" s="3" t="s">
        <v>51</v>
      </c>
      <c r="O204" s="3"/>
      <c r="P204" s="10"/>
      <c r="Q204" s="3" t="s">
        <v>18</v>
      </c>
      <c r="R204" s="67">
        <f t="shared" si="7"/>
        <v>5.7332570758993957E-2</v>
      </c>
    </row>
    <row r="205" spans="1:18" ht="14.25" customHeight="1" x14ac:dyDescent="0.3">
      <c r="A205" s="3" t="s">
        <v>266</v>
      </c>
      <c r="B205" s="3" t="s">
        <v>30</v>
      </c>
      <c r="C205" s="10">
        <v>45658</v>
      </c>
      <c r="D205" s="3" t="s">
        <v>39</v>
      </c>
      <c r="E205" s="3" t="s">
        <v>68</v>
      </c>
      <c r="F205" s="19">
        <v>2234</v>
      </c>
      <c r="G205" s="19">
        <v>653</v>
      </c>
      <c r="H205" s="19">
        <v>432</v>
      </c>
      <c r="I205" s="19">
        <v>11170</v>
      </c>
      <c r="J205" s="19">
        <v>10569</v>
      </c>
      <c r="K205" s="19">
        <v>198</v>
      </c>
      <c r="L205" s="19">
        <f t="shared" si="6"/>
        <v>3319</v>
      </c>
      <c r="M205" s="4" t="s">
        <v>51</v>
      </c>
      <c r="N205" s="3" t="s">
        <v>51</v>
      </c>
      <c r="O205" s="3"/>
      <c r="P205" s="10"/>
      <c r="Q205" s="3" t="s">
        <v>28</v>
      </c>
      <c r="R205" s="67">
        <f t="shared" si="7"/>
        <v>0.29713518352730528</v>
      </c>
    </row>
    <row r="206" spans="1:18" ht="14.25" customHeight="1" x14ac:dyDescent="0.3">
      <c r="A206" s="3" t="s">
        <v>267</v>
      </c>
      <c r="B206" s="3" t="s">
        <v>14</v>
      </c>
      <c r="C206" s="10">
        <v>45771</v>
      </c>
      <c r="D206" s="3" t="s">
        <v>59</v>
      </c>
      <c r="E206" s="3" t="s">
        <v>99</v>
      </c>
      <c r="F206" s="19">
        <v>3820</v>
      </c>
      <c r="G206" s="19">
        <v>697</v>
      </c>
      <c r="H206" s="19">
        <v>268</v>
      </c>
      <c r="I206" s="19">
        <v>45840</v>
      </c>
      <c r="J206" s="19">
        <v>45631</v>
      </c>
      <c r="K206" s="19">
        <v>171</v>
      </c>
      <c r="L206" s="19">
        <f t="shared" si="6"/>
        <v>4785</v>
      </c>
      <c r="M206" s="4" t="s">
        <v>268</v>
      </c>
      <c r="N206" s="3" t="s">
        <v>27</v>
      </c>
      <c r="O206" s="3" t="s">
        <v>388</v>
      </c>
      <c r="P206" s="10"/>
      <c r="Q206" s="3" t="s">
        <v>34</v>
      </c>
      <c r="R206" s="67">
        <f t="shared" si="7"/>
        <v>0.1043848167539267</v>
      </c>
    </row>
    <row r="207" spans="1:18" ht="14.25" customHeight="1" x14ac:dyDescent="0.3">
      <c r="A207" s="3" t="s">
        <v>269</v>
      </c>
      <c r="B207" s="3" t="s">
        <v>14</v>
      </c>
      <c r="C207" s="10">
        <v>45467</v>
      </c>
      <c r="D207" s="3" t="s">
        <v>20</v>
      </c>
      <c r="E207" s="3" t="s">
        <v>21</v>
      </c>
      <c r="F207" s="19">
        <v>941</v>
      </c>
      <c r="G207" s="19">
        <v>121</v>
      </c>
      <c r="H207" s="19">
        <v>458</v>
      </c>
      <c r="I207" s="19">
        <v>14115</v>
      </c>
      <c r="J207" s="19">
        <v>13838</v>
      </c>
      <c r="K207" s="19">
        <v>87</v>
      </c>
      <c r="L207" s="19">
        <f t="shared" si="6"/>
        <v>1520</v>
      </c>
      <c r="M207" s="4" t="s">
        <v>33</v>
      </c>
      <c r="N207" s="3" t="s">
        <v>33</v>
      </c>
      <c r="O207" s="3"/>
      <c r="P207" s="10"/>
      <c r="Q207" s="3" t="s">
        <v>18</v>
      </c>
      <c r="R207" s="67">
        <f t="shared" si="7"/>
        <v>0.10768685795253277</v>
      </c>
    </row>
    <row r="208" spans="1:18" ht="14.25" customHeight="1" x14ac:dyDescent="0.3">
      <c r="A208" s="3" t="s">
        <v>270</v>
      </c>
      <c r="B208" s="3" t="s">
        <v>14</v>
      </c>
      <c r="C208" s="10">
        <v>45655</v>
      </c>
      <c r="D208" s="3" t="s">
        <v>39</v>
      </c>
      <c r="E208" s="3" t="s">
        <v>42</v>
      </c>
      <c r="F208" s="19">
        <v>4274</v>
      </c>
      <c r="G208" s="19">
        <v>340</v>
      </c>
      <c r="H208" s="19">
        <v>281</v>
      </c>
      <c r="I208" s="19">
        <v>34192</v>
      </c>
      <c r="J208" s="19">
        <v>33446</v>
      </c>
      <c r="K208" s="19">
        <v>129</v>
      </c>
      <c r="L208" s="19">
        <f t="shared" si="6"/>
        <v>4895</v>
      </c>
      <c r="M208" s="4" t="s">
        <v>268</v>
      </c>
      <c r="N208" s="3" t="s">
        <v>27</v>
      </c>
      <c r="O208" s="3" t="s">
        <v>388</v>
      </c>
      <c r="P208" s="10"/>
      <c r="Q208" s="3" t="s">
        <v>28</v>
      </c>
      <c r="R208" s="67">
        <f t="shared" si="7"/>
        <v>0.14316214319138981</v>
      </c>
    </row>
    <row r="209" spans="1:18" ht="14.25" customHeight="1" x14ac:dyDescent="0.3">
      <c r="A209" s="3" t="s">
        <v>271</v>
      </c>
      <c r="B209" s="3" t="s">
        <v>25</v>
      </c>
      <c r="C209" s="10">
        <v>45467</v>
      </c>
      <c r="D209" s="3" t="s">
        <v>59</v>
      </c>
      <c r="E209" s="3" t="s">
        <v>143</v>
      </c>
      <c r="F209" s="19">
        <v>2949</v>
      </c>
      <c r="G209" s="19">
        <v>476</v>
      </c>
      <c r="H209" s="19">
        <v>403</v>
      </c>
      <c r="I209" s="19">
        <v>44235</v>
      </c>
      <c r="J209" s="19">
        <v>43705</v>
      </c>
      <c r="K209" s="19">
        <v>135</v>
      </c>
      <c r="L209" s="19">
        <f t="shared" si="6"/>
        <v>3828</v>
      </c>
      <c r="M209" s="4" t="s">
        <v>27</v>
      </c>
      <c r="N209" s="3" t="s">
        <v>27</v>
      </c>
      <c r="O209" s="3"/>
      <c r="P209" s="10"/>
      <c r="Q209" s="3" t="s">
        <v>23</v>
      </c>
      <c r="R209" s="67">
        <f t="shared" si="7"/>
        <v>8.6537809426924378E-2</v>
      </c>
    </row>
    <row r="210" spans="1:18" ht="14.25" customHeight="1" x14ac:dyDescent="0.3">
      <c r="A210" s="3" t="s">
        <v>272</v>
      </c>
      <c r="B210" s="3" t="s">
        <v>14</v>
      </c>
      <c r="C210" s="10">
        <v>45735</v>
      </c>
      <c r="D210" s="3" t="s">
        <v>59</v>
      </c>
      <c r="E210" s="3" t="s">
        <v>99</v>
      </c>
      <c r="F210" s="19">
        <v>3160</v>
      </c>
      <c r="G210" s="19">
        <v>204</v>
      </c>
      <c r="H210" s="19">
        <v>297</v>
      </c>
      <c r="I210" s="19">
        <v>44240</v>
      </c>
      <c r="J210" s="19">
        <v>43666</v>
      </c>
      <c r="K210" s="19">
        <v>49</v>
      </c>
      <c r="L210" s="19">
        <f t="shared" si="6"/>
        <v>3661</v>
      </c>
      <c r="M210" s="4" t="s">
        <v>17</v>
      </c>
      <c r="N210" s="3" t="s">
        <v>51</v>
      </c>
      <c r="O210" s="3" t="s">
        <v>392</v>
      </c>
      <c r="P210" s="10"/>
      <c r="Q210" s="3" t="s">
        <v>34</v>
      </c>
      <c r="R210" s="67">
        <f t="shared" si="7"/>
        <v>8.2753164556962022E-2</v>
      </c>
    </row>
    <row r="211" spans="1:18" ht="14.25" customHeight="1" x14ac:dyDescent="0.3">
      <c r="A211" s="3" t="s">
        <v>273</v>
      </c>
      <c r="B211" s="3" t="s">
        <v>25</v>
      </c>
      <c r="C211" s="10">
        <v>45707</v>
      </c>
      <c r="D211" s="3" t="s">
        <v>44</v>
      </c>
      <c r="E211" s="3" t="s">
        <v>45</v>
      </c>
      <c r="F211" s="19">
        <v>257</v>
      </c>
      <c r="G211" s="19">
        <v>966</v>
      </c>
      <c r="H211" s="19">
        <v>398</v>
      </c>
      <c r="I211" s="19">
        <v>3341</v>
      </c>
      <c r="J211" s="19">
        <v>2753</v>
      </c>
      <c r="K211" s="19">
        <v>287</v>
      </c>
      <c r="L211" s="19">
        <f t="shared" si="6"/>
        <v>1621</v>
      </c>
      <c r="M211" s="4" t="s">
        <v>51</v>
      </c>
      <c r="N211" s="3" t="s">
        <v>51</v>
      </c>
      <c r="O211" s="3"/>
      <c r="P211" s="10"/>
      <c r="Q211" s="3" t="s">
        <v>18</v>
      </c>
      <c r="R211" s="67">
        <f t="shared" si="7"/>
        <v>0.48518407662376534</v>
      </c>
    </row>
    <row r="212" spans="1:18" ht="14.25" customHeight="1" x14ac:dyDescent="0.3">
      <c r="A212" s="3" t="s">
        <v>274</v>
      </c>
      <c r="B212" s="3" t="s">
        <v>14</v>
      </c>
      <c r="C212" s="10">
        <v>45491</v>
      </c>
      <c r="D212" s="3" t="s">
        <v>39</v>
      </c>
      <c r="E212" s="3" t="s">
        <v>42</v>
      </c>
      <c r="F212" s="19">
        <v>2120</v>
      </c>
      <c r="G212" s="19">
        <v>38</v>
      </c>
      <c r="H212" s="19">
        <v>212</v>
      </c>
      <c r="I212" s="19">
        <v>12720</v>
      </c>
      <c r="J212" s="19">
        <v>12564</v>
      </c>
      <c r="K212" s="19">
        <v>21</v>
      </c>
      <c r="L212" s="19">
        <f t="shared" si="6"/>
        <v>2370</v>
      </c>
      <c r="M212" s="4" t="s">
        <v>51</v>
      </c>
      <c r="N212" s="3" t="s">
        <v>51</v>
      </c>
      <c r="O212" s="3"/>
      <c r="P212" s="10"/>
      <c r="Q212" s="3" t="s">
        <v>34</v>
      </c>
      <c r="R212" s="67">
        <f t="shared" si="7"/>
        <v>0.18632075471698112</v>
      </c>
    </row>
    <row r="213" spans="1:18" ht="14.25" customHeight="1" x14ac:dyDescent="0.3">
      <c r="A213" s="3" t="s">
        <v>275</v>
      </c>
      <c r="B213" s="3" t="s">
        <v>25</v>
      </c>
      <c r="C213" s="10">
        <v>45719</v>
      </c>
      <c r="D213" s="3" t="s">
        <v>59</v>
      </c>
      <c r="E213" s="3" t="s">
        <v>143</v>
      </c>
      <c r="F213" s="19">
        <v>3874</v>
      </c>
      <c r="G213" s="19">
        <v>884</v>
      </c>
      <c r="H213" s="19">
        <v>19</v>
      </c>
      <c r="I213" s="19">
        <v>38740</v>
      </c>
      <c r="J213" s="19">
        <v>38552</v>
      </c>
      <c r="K213" s="19">
        <v>219</v>
      </c>
      <c r="L213" s="19">
        <f t="shared" si="6"/>
        <v>4777</v>
      </c>
      <c r="M213" s="4" t="s">
        <v>27</v>
      </c>
      <c r="N213" s="3" t="s">
        <v>27</v>
      </c>
      <c r="O213" s="3"/>
      <c r="P213" s="10"/>
      <c r="Q213" s="3" t="s">
        <v>23</v>
      </c>
      <c r="R213" s="67">
        <f t="shared" si="7"/>
        <v>0.123309241094476</v>
      </c>
    </row>
    <row r="214" spans="1:18" ht="14.25" customHeight="1" x14ac:dyDescent="0.3">
      <c r="A214" s="3" t="s">
        <v>276</v>
      </c>
      <c r="B214" s="3" t="s">
        <v>38</v>
      </c>
      <c r="C214" s="10">
        <v>45778</v>
      </c>
      <c r="D214" s="3" t="s">
        <v>39</v>
      </c>
      <c r="E214" s="3" t="s">
        <v>40</v>
      </c>
      <c r="F214" s="19">
        <v>2696</v>
      </c>
      <c r="G214" s="19">
        <v>628</v>
      </c>
      <c r="H214" s="19">
        <v>443</v>
      </c>
      <c r="I214" s="19">
        <v>45832</v>
      </c>
      <c r="J214" s="19">
        <v>45632</v>
      </c>
      <c r="K214" s="19">
        <v>248</v>
      </c>
      <c r="L214" s="19">
        <f t="shared" si="6"/>
        <v>3767</v>
      </c>
      <c r="M214" s="4" t="s">
        <v>33</v>
      </c>
      <c r="N214" s="3" t="s">
        <v>33</v>
      </c>
      <c r="O214" s="3"/>
      <c r="P214" s="10"/>
      <c r="Q214" s="3" t="s">
        <v>34</v>
      </c>
      <c r="R214" s="67">
        <f t="shared" si="7"/>
        <v>8.21914819340199E-2</v>
      </c>
    </row>
    <row r="215" spans="1:18" ht="14.25" customHeight="1" x14ac:dyDescent="0.3">
      <c r="A215" s="3" t="s">
        <v>277</v>
      </c>
      <c r="B215" s="3" t="s">
        <v>30</v>
      </c>
      <c r="C215" s="10">
        <v>45649</v>
      </c>
      <c r="D215" s="3" t="s">
        <v>44</v>
      </c>
      <c r="E215" s="3" t="s">
        <v>140</v>
      </c>
      <c r="F215" s="19">
        <v>521</v>
      </c>
      <c r="G215" s="19">
        <v>746</v>
      </c>
      <c r="H215" s="19">
        <v>315</v>
      </c>
      <c r="I215" s="19">
        <v>4168</v>
      </c>
      <c r="J215" s="19">
        <v>3399</v>
      </c>
      <c r="K215" s="19">
        <v>282</v>
      </c>
      <c r="L215" s="19">
        <f t="shared" si="6"/>
        <v>1582</v>
      </c>
      <c r="M215" s="4" t="s">
        <v>51</v>
      </c>
      <c r="N215" s="3" t="s">
        <v>51</v>
      </c>
      <c r="O215" s="3"/>
      <c r="P215" s="10"/>
      <c r="Q215" s="3" t="s">
        <v>23</v>
      </c>
      <c r="R215" s="67">
        <f t="shared" si="7"/>
        <v>0.37955854126679461</v>
      </c>
    </row>
    <row r="216" spans="1:18" ht="14.25" customHeight="1" x14ac:dyDescent="0.3">
      <c r="A216" s="3" t="s">
        <v>278</v>
      </c>
      <c r="B216" s="3" t="s">
        <v>38</v>
      </c>
      <c r="C216" s="10">
        <v>45783</v>
      </c>
      <c r="D216" s="3" t="s">
        <v>44</v>
      </c>
      <c r="E216" s="3" t="s">
        <v>49</v>
      </c>
      <c r="F216" s="19">
        <v>4872</v>
      </c>
      <c r="G216" s="19">
        <v>925</v>
      </c>
      <c r="H216" s="19">
        <v>176</v>
      </c>
      <c r="I216" s="19">
        <v>82824</v>
      </c>
      <c r="J216" s="19">
        <v>82543</v>
      </c>
      <c r="K216" s="19">
        <v>89</v>
      </c>
      <c r="L216" s="19">
        <f t="shared" si="6"/>
        <v>5973</v>
      </c>
      <c r="M216" s="4" t="s">
        <v>33</v>
      </c>
      <c r="N216" s="3" t="s">
        <v>33</v>
      </c>
      <c r="O216" s="3"/>
      <c r="P216" s="10"/>
      <c r="Q216" s="3" t="s">
        <v>23</v>
      </c>
      <c r="R216" s="67">
        <f t="shared" si="7"/>
        <v>7.2116777745580993E-2</v>
      </c>
    </row>
    <row r="217" spans="1:18" ht="14.25" customHeight="1" x14ac:dyDescent="0.3">
      <c r="A217" s="3" t="s">
        <v>279</v>
      </c>
      <c r="B217" s="3" t="s">
        <v>25</v>
      </c>
      <c r="C217" s="10">
        <v>45502</v>
      </c>
      <c r="D217" s="3" t="s">
        <v>31</v>
      </c>
      <c r="E217" s="3" t="s">
        <v>105</v>
      </c>
      <c r="F217" s="19">
        <v>1509</v>
      </c>
      <c r="G217" s="19">
        <v>88</v>
      </c>
      <c r="H217" s="19">
        <v>163</v>
      </c>
      <c r="I217" s="19">
        <v>30180</v>
      </c>
      <c r="J217" s="19">
        <v>29689</v>
      </c>
      <c r="K217" s="19">
        <v>119</v>
      </c>
      <c r="L217" s="19">
        <f t="shared" si="6"/>
        <v>1760</v>
      </c>
      <c r="M217" s="4" t="s">
        <v>33</v>
      </c>
      <c r="N217" s="3" t="s">
        <v>33</v>
      </c>
      <c r="O217" s="3"/>
      <c r="P217" s="10"/>
      <c r="Q217" s="3" t="s">
        <v>23</v>
      </c>
      <c r="R217" s="67">
        <f t="shared" si="7"/>
        <v>5.8316766070245198E-2</v>
      </c>
    </row>
    <row r="218" spans="1:18" ht="14.25" customHeight="1" x14ac:dyDescent="0.3">
      <c r="A218" s="3" t="s">
        <v>280</v>
      </c>
      <c r="B218" s="3" t="s">
        <v>38</v>
      </c>
      <c r="C218" s="10">
        <v>45629</v>
      </c>
      <c r="D218" s="3" t="s">
        <v>44</v>
      </c>
      <c r="E218" s="3" t="s">
        <v>49</v>
      </c>
      <c r="F218" s="19">
        <v>4606</v>
      </c>
      <c r="G218" s="19">
        <v>931</v>
      </c>
      <c r="H218" s="19">
        <v>230</v>
      </c>
      <c r="I218" s="19">
        <v>92120</v>
      </c>
      <c r="J218" s="19">
        <v>91440</v>
      </c>
      <c r="K218" s="19">
        <v>56</v>
      </c>
      <c r="L218" s="19">
        <f t="shared" si="6"/>
        <v>5767</v>
      </c>
      <c r="M218" s="4" t="s">
        <v>27</v>
      </c>
      <c r="N218" s="3" t="s">
        <v>27</v>
      </c>
      <c r="O218" s="3"/>
      <c r="P218" s="10"/>
      <c r="Q218" s="3" t="s">
        <v>397</v>
      </c>
      <c r="R218" s="67">
        <f t="shared" si="7"/>
        <v>6.2603126356925748E-2</v>
      </c>
    </row>
    <row r="219" spans="1:18" ht="14.25" customHeight="1" x14ac:dyDescent="0.3">
      <c r="A219" s="3" t="s">
        <v>281</v>
      </c>
      <c r="B219" s="3" t="s">
        <v>38</v>
      </c>
      <c r="C219" s="10">
        <v>45454</v>
      </c>
      <c r="D219" s="3" t="s">
        <v>39</v>
      </c>
      <c r="E219" s="3" t="s">
        <v>40</v>
      </c>
      <c r="F219" s="19">
        <v>1869</v>
      </c>
      <c r="G219" s="19">
        <v>453</v>
      </c>
      <c r="H219" s="19">
        <v>490</v>
      </c>
      <c r="I219" s="19">
        <v>14952</v>
      </c>
      <c r="J219" s="19">
        <v>14309</v>
      </c>
      <c r="K219" s="19">
        <v>275</v>
      </c>
      <c r="L219" s="19">
        <f t="shared" si="6"/>
        <v>2812</v>
      </c>
      <c r="M219" s="4" t="s">
        <v>27</v>
      </c>
      <c r="N219" s="3" t="s">
        <v>27</v>
      </c>
      <c r="O219" s="3"/>
      <c r="P219" s="10"/>
      <c r="Q219" s="3" t="s">
        <v>34</v>
      </c>
      <c r="R219" s="67">
        <f t="shared" si="7"/>
        <v>0.18806848582129482</v>
      </c>
    </row>
    <row r="220" spans="1:18" ht="14.25" customHeight="1" x14ac:dyDescent="0.3">
      <c r="A220" s="3" t="s">
        <v>282</v>
      </c>
      <c r="B220" s="3" t="s">
        <v>14</v>
      </c>
      <c r="C220" s="10">
        <v>45685</v>
      </c>
      <c r="D220" s="3" t="s">
        <v>15</v>
      </c>
      <c r="E220" s="3" t="s">
        <v>16</v>
      </c>
      <c r="F220" s="19">
        <v>1188</v>
      </c>
      <c r="G220" s="19">
        <v>470</v>
      </c>
      <c r="H220" s="19">
        <v>174</v>
      </c>
      <c r="I220" s="19">
        <v>7128</v>
      </c>
      <c r="J220" s="19">
        <v>6145</v>
      </c>
      <c r="K220" s="19">
        <v>270</v>
      </c>
      <c r="L220" s="19">
        <f t="shared" si="6"/>
        <v>1832</v>
      </c>
      <c r="M220" s="4" t="s">
        <v>27</v>
      </c>
      <c r="N220" s="3" t="s">
        <v>27</v>
      </c>
      <c r="O220" s="3"/>
      <c r="P220" s="10"/>
      <c r="Q220" s="3" t="s">
        <v>34</v>
      </c>
      <c r="R220" s="67">
        <f t="shared" si="7"/>
        <v>0.25701459034792368</v>
      </c>
    </row>
    <row r="221" spans="1:18" ht="14.25" customHeight="1" x14ac:dyDescent="0.3">
      <c r="A221" s="3" t="s">
        <v>283</v>
      </c>
      <c r="B221" s="3" t="s">
        <v>30</v>
      </c>
      <c r="C221" s="10">
        <v>45445</v>
      </c>
      <c r="D221" s="3" t="s">
        <v>31</v>
      </c>
      <c r="E221" s="3" t="s">
        <v>32</v>
      </c>
      <c r="F221" s="19">
        <v>84</v>
      </c>
      <c r="G221" s="19">
        <v>897</v>
      </c>
      <c r="H221" s="19">
        <v>85</v>
      </c>
      <c r="I221" s="19">
        <v>588</v>
      </c>
      <c r="J221" s="19">
        <v>8</v>
      </c>
      <c r="K221" s="19">
        <v>12</v>
      </c>
      <c r="L221" s="19">
        <f t="shared" si="6"/>
        <v>1066</v>
      </c>
      <c r="M221" s="4" t="s">
        <v>33</v>
      </c>
      <c r="N221" s="3" t="s">
        <v>33</v>
      </c>
      <c r="O221" s="3"/>
      <c r="P221" s="10"/>
      <c r="Q221" s="3" t="s">
        <v>397</v>
      </c>
      <c r="R221" s="67">
        <f t="shared" si="7"/>
        <v>1.8129251700680271</v>
      </c>
    </row>
    <row r="222" spans="1:18" ht="14.25" customHeight="1" x14ac:dyDescent="0.3">
      <c r="A222" s="3" t="s">
        <v>284</v>
      </c>
      <c r="B222" s="3" t="s">
        <v>38</v>
      </c>
      <c r="C222" s="10">
        <v>45739</v>
      </c>
      <c r="D222" s="3" t="s">
        <v>59</v>
      </c>
      <c r="E222" s="3" t="s">
        <v>60</v>
      </c>
      <c r="F222" s="19">
        <v>4453</v>
      </c>
      <c r="G222" s="19">
        <v>111</v>
      </c>
      <c r="H222" s="19">
        <v>420</v>
      </c>
      <c r="I222" s="19">
        <v>31171</v>
      </c>
      <c r="J222" s="19">
        <v>30565</v>
      </c>
      <c r="K222" s="19">
        <v>23</v>
      </c>
      <c r="L222" s="19">
        <f t="shared" si="6"/>
        <v>4984</v>
      </c>
      <c r="M222" s="4" t="s">
        <v>27</v>
      </c>
      <c r="N222" s="3" t="s">
        <v>27</v>
      </c>
      <c r="O222" s="3"/>
      <c r="P222" s="10"/>
      <c r="Q222" s="3" t="s">
        <v>397</v>
      </c>
      <c r="R222" s="67">
        <f t="shared" si="7"/>
        <v>0.15989220750056141</v>
      </c>
    </row>
    <row r="223" spans="1:18" ht="14.25" customHeight="1" x14ac:dyDescent="0.3">
      <c r="A223" s="3" t="s">
        <v>285</v>
      </c>
      <c r="B223" s="3" t="s">
        <v>38</v>
      </c>
      <c r="C223" s="10">
        <v>45573</v>
      </c>
      <c r="D223" s="3" t="s">
        <v>15</v>
      </c>
      <c r="E223" s="3" t="s">
        <v>53</v>
      </c>
      <c r="F223" s="19">
        <v>1814</v>
      </c>
      <c r="G223" s="19">
        <v>653</v>
      </c>
      <c r="H223" s="19">
        <v>363</v>
      </c>
      <c r="I223" s="19">
        <v>25396</v>
      </c>
      <c r="J223" s="19">
        <v>25286</v>
      </c>
      <c r="K223" s="19">
        <v>39</v>
      </c>
      <c r="L223" s="19">
        <f t="shared" si="6"/>
        <v>2830</v>
      </c>
      <c r="M223" s="4" t="s">
        <v>286</v>
      </c>
      <c r="N223" s="3" t="s">
        <v>51</v>
      </c>
      <c r="O223" s="3" t="s">
        <v>388</v>
      </c>
      <c r="P223" s="10"/>
      <c r="Q223" s="3" t="s">
        <v>18</v>
      </c>
      <c r="R223" s="67">
        <f t="shared" si="7"/>
        <v>0.11143487163332809</v>
      </c>
    </row>
    <row r="224" spans="1:18" ht="14.25" customHeight="1" x14ac:dyDescent="0.3">
      <c r="A224" s="3" t="s">
        <v>287</v>
      </c>
      <c r="B224" s="3" t="s">
        <v>14</v>
      </c>
      <c r="C224" s="10">
        <v>45608</v>
      </c>
      <c r="D224" s="3" t="s">
        <v>44</v>
      </c>
      <c r="E224" s="3" t="s">
        <v>92</v>
      </c>
      <c r="F224" s="19">
        <v>3338</v>
      </c>
      <c r="G224" s="19">
        <v>277</v>
      </c>
      <c r="H224" s="19">
        <v>118</v>
      </c>
      <c r="I224" s="19">
        <v>60084</v>
      </c>
      <c r="J224" s="19">
        <v>59842</v>
      </c>
      <c r="K224" s="19">
        <v>252</v>
      </c>
      <c r="L224" s="19">
        <f t="shared" si="6"/>
        <v>3733</v>
      </c>
      <c r="M224" s="4" t="s">
        <v>27</v>
      </c>
      <c r="N224" s="3" t="s">
        <v>27</v>
      </c>
      <c r="O224" s="3"/>
      <c r="P224" s="10"/>
      <c r="Q224" s="3" t="s">
        <v>397</v>
      </c>
      <c r="R224" s="67">
        <f t="shared" si="7"/>
        <v>6.2129685107516146E-2</v>
      </c>
    </row>
    <row r="225" spans="1:18" ht="14.25" customHeight="1" x14ac:dyDescent="0.3">
      <c r="A225" s="3" t="s">
        <v>288</v>
      </c>
      <c r="B225" s="3" t="s">
        <v>38</v>
      </c>
      <c r="C225" s="10">
        <v>45790</v>
      </c>
      <c r="D225" s="3" t="s">
        <v>44</v>
      </c>
      <c r="E225" s="3" t="s">
        <v>49</v>
      </c>
      <c r="F225" s="19">
        <v>602</v>
      </c>
      <c r="G225" s="19">
        <v>594</v>
      </c>
      <c r="H225" s="19">
        <v>156</v>
      </c>
      <c r="I225" s="19">
        <v>4214</v>
      </c>
      <c r="J225" s="19">
        <v>3363</v>
      </c>
      <c r="K225" s="19">
        <v>164</v>
      </c>
      <c r="L225" s="19">
        <f t="shared" si="6"/>
        <v>1352</v>
      </c>
      <c r="M225" s="4" t="s">
        <v>27</v>
      </c>
      <c r="N225" s="3" t="s">
        <v>27</v>
      </c>
      <c r="O225" s="3"/>
      <c r="P225" s="10"/>
      <c r="Q225" s="3" t="s">
        <v>28</v>
      </c>
      <c r="R225" s="67">
        <f t="shared" si="7"/>
        <v>0.32083531086853345</v>
      </c>
    </row>
    <row r="226" spans="1:18" ht="14.25" customHeight="1" x14ac:dyDescent="0.3">
      <c r="A226" s="3" t="s">
        <v>289</v>
      </c>
      <c r="B226" s="3" t="s">
        <v>14</v>
      </c>
      <c r="C226" s="10">
        <v>45463</v>
      </c>
      <c r="D226" s="3" t="s">
        <v>39</v>
      </c>
      <c r="E226" s="3" t="s">
        <v>42</v>
      </c>
      <c r="F226" s="19">
        <v>4672</v>
      </c>
      <c r="G226" s="19">
        <v>325</v>
      </c>
      <c r="H226" s="19">
        <v>32</v>
      </c>
      <c r="I226" s="19">
        <v>88768</v>
      </c>
      <c r="J226" s="19">
        <v>87833</v>
      </c>
      <c r="K226" s="19">
        <v>118</v>
      </c>
      <c r="L226" s="19">
        <f t="shared" si="6"/>
        <v>5029</v>
      </c>
      <c r="M226" s="4" t="s">
        <v>33</v>
      </c>
      <c r="N226" s="3" t="s">
        <v>33</v>
      </c>
      <c r="O226" s="3"/>
      <c r="P226" s="10"/>
      <c r="Q226" s="3" t="s">
        <v>397</v>
      </c>
      <c r="R226" s="67">
        <f t="shared" si="7"/>
        <v>5.6653298485940883E-2</v>
      </c>
    </row>
    <row r="227" spans="1:18" ht="14.25" customHeight="1" x14ac:dyDescent="0.3">
      <c r="A227" s="3" t="s">
        <v>290</v>
      </c>
      <c r="B227" s="3" t="s">
        <v>30</v>
      </c>
      <c r="C227" s="10">
        <v>45511</v>
      </c>
      <c r="D227" s="3" t="s">
        <v>39</v>
      </c>
      <c r="E227" s="3" t="s">
        <v>68</v>
      </c>
      <c r="F227" s="19">
        <v>1741</v>
      </c>
      <c r="G227" s="19">
        <v>164</v>
      </c>
      <c r="H227" s="19">
        <v>318</v>
      </c>
      <c r="I227" s="19">
        <v>8705</v>
      </c>
      <c r="J227" s="19">
        <v>8272</v>
      </c>
      <c r="K227" s="19">
        <v>121</v>
      </c>
      <c r="L227" s="19">
        <f t="shared" si="6"/>
        <v>2223</v>
      </c>
      <c r="M227" s="4" t="s">
        <v>27</v>
      </c>
      <c r="N227" s="3" t="s">
        <v>27</v>
      </c>
      <c r="O227" s="3"/>
      <c r="P227" s="10"/>
      <c r="Q227" s="3" t="s">
        <v>397</v>
      </c>
      <c r="R227" s="67">
        <f t="shared" si="7"/>
        <v>0.25537047673750718</v>
      </c>
    </row>
    <row r="228" spans="1:18" ht="14.25" customHeight="1" x14ac:dyDescent="0.3">
      <c r="A228" s="3" t="s">
        <v>291</v>
      </c>
      <c r="B228" s="3" t="s">
        <v>30</v>
      </c>
      <c r="C228" s="10">
        <v>45455</v>
      </c>
      <c r="D228" s="3" t="s">
        <v>20</v>
      </c>
      <c r="E228" s="3" t="s">
        <v>82</v>
      </c>
      <c r="F228" s="19">
        <v>246</v>
      </c>
      <c r="G228" s="19">
        <v>149</v>
      </c>
      <c r="H228" s="19">
        <v>130</v>
      </c>
      <c r="I228" s="19">
        <v>4674</v>
      </c>
      <c r="J228" s="19">
        <v>4390</v>
      </c>
      <c r="K228" s="19">
        <v>217</v>
      </c>
      <c r="L228" s="19">
        <f t="shared" si="6"/>
        <v>525</v>
      </c>
      <c r="M228" s="4" t="s">
        <v>51</v>
      </c>
      <c r="N228" s="3" t="s">
        <v>51</v>
      </c>
      <c r="O228" s="3"/>
      <c r="P228" s="10"/>
      <c r="Q228" s="3" t="s">
        <v>28</v>
      </c>
      <c r="R228" s="67">
        <f t="shared" si="7"/>
        <v>0.11232349165596919</v>
      </c>
    </row>
    <row r="229" spans="1:18" ht="14.25" customHeight="1" x14ac:dyDescent="0.3">
      <c r="A229" s="3" t="s">
        <v>292</v>
      </c>
      <c r="B229" s="3" t="s">
        <v>30</v>
      </c>
      <c r="C229" s="10">
        <v>45474</v>
      </c>
      <c r="D229" s="3" t="s">
        <v>31</v>
      </c>
      <c r="E229" s="3" t="s">
        <v>32</v>
      </c>
      <c r="F229" s="19">
        <v>4808</v>
      </c>
      <c r="G229" s="19">
        <v>772</v>
      </c>
      <c r="H229" s="19">
        <v>320</v>
      </c>
      <c r="I229" s="19">
        <v>72120</v>
      </c>
      <c r="J229" s="19">
        <v>71696</v>
      </c>
      <c r="K229" s="19">
        <v>195</v>
      </c>
      <c r="L229" s="19">
        <f t="shared" si="6"/>
        <v>5900</v>
      </c>
      <c r="M229" s="4" t="s">
        <v>33</v>
      </c>
      <c r="N229" s="3" t="s">
        <v>33</v>
      </c>
      <c r="O229" s="3"/>
      <c r="P229" s="10"/>
      <c r="Q229" s="3" t="s">
        <v>18</v>
      </c>
      <c r="R229" s="67">
        <f t="shared" si="7"/>
        <v>8.1808097615085965E-2</v>
      </c>
    </row>
    <row r="230" spans="1:18" ht="14.25" customHeight="1" x14ac:dyDescent="0.3">
      <c r="A230" s="3" t="s">
        <v>293</v>
      </c>
      <c r="B230" s="3" t="s">
        <v>30</v>
      </c>
      <c r="C230" s="10">
        <v>45476</v>
      </c>
      <c r="D230" s="3" t="s">
        <v>39</v>
      </c>
      <c r="E230" s="3" t="s">
        <v>68</v>
      </c>
      <c r="F230" s="19">
        <v>4799</v>
      </c>
      <c r="G230" s="19">
        <v>694</v>
      </c>
      <c r="H230" s="19">
        <v>289</v>
      </c>
      <c r="I230" s="19">
        <v>43191</v>
      </c>
      <c r="J230" s="19">
        <v>42228</v>
      </c>
      <c r="K230" s="19">
        <v>118</v>
      </c>
      <c r="L230" s="19">
        <f t="shared" si="6"/>
        <v>5782</v>
      </c>
      <c r="M230" s="4" t="s">
        <v>27</v>
      </c>
      <c r="N230" s="3" t="s">
        <v>27</v>
      </c>
      <c r="O230" s="3"/>
      <c r="P230" s="10"/>
      <c r="Q230" s="3" t="s">
        <v>397</v>
      </c>
      <c r="R230" s="67">
        <f t="shared" si="7"/>
        <v>0.13387048227640017</v>
      </c>
    </row>
    <row r="231" spans="1:18" ht="14.25" customHeight="1" x14ac:dyDescent="0.3">
      <c r="A231" s="3" t="s">
        <v>294</v>
      </c>
      <c r="B231" s="3" t="s">
        <v>38</v>
      </c>
      <c r="C231" s="10">
        <v>45488</v>
      </c>
      <c r="D231" s="3" t="s">
        <v>15</v>
      </c>
      <c r="E231" s="3" t="s">
        <v>53</v>
      </c>
      <c r="F231" s="19">
        <v>3663</v>
      </c>
      <c r="G231" s="19">
        <v>17</v>
      </c>
      <c r="H231" s="19">
        <v>295</v>
      </c>
      <c r="I231" s="19">
        <v>51282</v>
      </c>
      <c r="J231" s="19">
        <v>50567</v>
      </c>
      <c r="K231" s="19">
        <v>84</v>
      </c>
      <c r="L231" s="19">
        <f t="shared" si="6"/>
        <v>3975</v>
      </c>
      <c r="M231" s="4" t="s">
        <v>33</v>
      </c>
      <c r="N231" s="3" t="s">
        <v>33</v>
      </c>
      <c r="O231" s="3"/>
      <c r="P231" s="10"/>
      <c r="Q231" s="3" t="s">
        <v>28</v>
      </c>
      <c r="R231" s="67">
        <f t="shared" si="7"/>
        <v>7.7512577512577507E-2</v>
      </c>
    </row>
    <row r="232" spans="1:18" ht="14.25" customHeight="1" x14ac:dyDescent="0.3">
      <c r="A232" s="3" t="s">
        <v>295</v>
      </c>
      <c r="B232" s="3" t="s">
        <v>30</v>
      </c>
      <c r="C232" s="10">
        <v>45778</v>
      </c>
      <c r="D232" s="3" t="s">
        <v>20</v>
      </c>
      <c r="E232" s="3" t="s">
        <v>82</v>
      </c>
      <c r="F232" s="19">
        <v>1430</v>
      </c>
      <c r="G232" s="19">
        <v>376</v>
      </c>
      <c r="H232" s="19">
        <v>33</v>
      </c>
      <c r="I232" s="19">
        <v>21450</v>
      </c>
      <c r="J232" s="19">
        <v>20509</v>
      </c>
      <c r="K232" s="19">
        <v>251</v>
      </c>
      <c r="L232" s="19">
        <f t="shared" si="6"/>
        <v>1839</v>
      </c>
      <c r="M232" s="4" t="s">
        <v>51</v>
      </c>
      <c r="N232" s="3" t="s">
        <v>51</v>
      </c>
      <c r="O232" s="3"/>
      <c r="P232" s="10"/>
      <c r="Q232" s="3" t="s">
        <v>18</v>
      </c>
      <c r="R232" s="67">
        <f t="shared" si="7"/>
        <v>8.5734265734265735E-2</v>
      </c>
    </row>
    <row r="233" spans="1:18" ht="14.25" customHeight="1" x14ac:dyDescent="0.3">
      <c r="A233" s="3" t="s">
        <v>296</v>
      </c>
      <c r="B233" s="3" t="s">
        <v>14</v>
      </c>
      <c r="C233" s="10">
        <v>45776</v>
      </c>
      <c r="D233" s="3" t="s">
        <v>31</v>
      </c>
      <c r="E233" s="3" t="s">
        <v>102</v>
      </c>
      <c r="F233" s="19">
        <v>249</v>
      </c>
      <c r="G233" s="19">
        <v>592</v>
      </c>
      <c r="H233" s="19">
        <v>230</v>
      </c>
      <c r="I233" s="19">
        <v>1494</v>
      </c>
      <c r="J233" s="19">
        <v>1044</v>
      </c>
      <c r="K233" s="19">
        <v>201</v>
      </c>
      <c r="L233" s="19">
        <f t="shared" si="6"/>
        <v>1071</v>
      </c>
      <c r="M233" s="4" t="s">
        <v>33</v>
      </c>
      <c r="N233" s="3" t="s">
        <v>33</v>
      </c>
      <c r="O233" s="3"/>
      <c r="P233" s="10"/>
      <c r="Q233" s="3" t="s">
        <v>34</v>
      </c>
      <c r="R233" s="67">
        <f t="shared" si="7"/>
        <v>0.7168674698795181</v>
      </c>
    </row>
    <row r="234" spans="1:18" ht="14.25" customHeight="1" x14ac:dyDescent="0.3">
      <c r="A234" s="3" t="s">
        <v>297</v>
      </c>
      <c r="B234" s="3" t="s">
        <v>38</v>
      </c>
      <c r="C234" s="10">
        <v>45724</v>
      </c>
      <c r="D234" s="3" t="s">
        <v>44</v>
      </c>
      <c r="E234" s="3" t="s">
        <v>49</v>
      </c>
      <c r="F234" s="19">
        <v>2382</v>
      </c>
      <c r="G234" s="19">
        <v>265</v>
      </c>
      <c r="H234" s="19">
        <v>134</v>
      </c>
      <c r="I234" s="19">
        <v>38112</v>
      </c>
      <c r="J234" s="19">
        <v>37437</v>
      </c>
      <c r="K234" s="19">
        <v>249</v>
      </c>
      <c r="L234" s="19">
        <f t="shared" si="6"/>
        <v>2781</v>
      </c>
      <c r="M234" s="4" t="s">
        <v>51</v>
      </c>
      <c r="N234" s="3" t="s">
        <v>51</v>
      </c>
      <c r="O234" s="3"/>
      <c r="P234" s="10"/>
      <c r="Q234" s="3" t="s">
        <v>34</v>
      </c>
      <c r="R234" s="67">
        <f t="shared" si="7"/>
        <v>7.2969143576826198E-2</v>
      </c>
    </row>
    <row r="235" spans="1:18" ht="14.25" customHeight="1" x14ac:dyDescent="0.3">
      <c r="A235" s="3" t="s">
        <v>298</v>
      </c>
      <c r="B235" s="3" t="s">
        <v>38</v>
      </c>
      <c r="C235" s="10">
        <v>45444</v>
      </c>
      <c r="D235" s="3" t="s">
        <v>20</v>
      </c>
      <c r="E235" s="3" t="s">
        <v>47</v>
      </c>
      <c r="F235" s="19">
        <v>1272</v>
      </c>
      <c r="G235" s="19">
        <v>465</v>
      </c>
      <c r="H235" s="19">
        <v>99</v>
      </c>
      <c r="I235" s="19">
        <v>24168</v>
      </c>
      <c r="J235" s="19">
        <v>23719</v>
      </c>
      <c r="K235" s="19">
        <v>42</v>
      </c>
      <c r="L235" s="19">
        <f t="shared" si="6"/>
        <v>1836</v>
      </c>
      <c r="M235" s="4" t="s">
        <v>27</v>
      </c>
      <c r="N235" s="3" t="s">
        <v>27</v>
      </c>
      <c r="O235" s="3"/>
      <c r="P235" s="10"/>
      <c r="Q235" s="3" t="s">
        <v>397</v>
      </c>
      <c r="R235" s="67">
        <f t="shared" si="7"/>
        <v>7.5968222442899705E-2</v>
      </c>
    </row>
    <row r="236" spans="1:18" ht="14.25" customHeight="1" x14ac:dyDescent="0.3">
      <c r="A236" s="3" t="s">
        <v>299</v>
      </c>
      <c r="B236" s="3" t="s">
        <v>38</v>
      </c>
      <c r="C236" s="10">
        <v>45648</v>
      </c>
      <c r="D236" s="3" t="s">
        <v>44</v>
      </c>
      <c r="E236" s="3" t="s">
        <v>49</v>
      </c>
      <c r="F236" s="19">
        <v>3196</v>
      </c>
      <c r="G236" s="19">
        <v>941</v>
      </c>
      <c r="H236" s="19">
        <v>376</v>
      </c>
      <c r="I236" s="19">
        <v>35156</v>
      </c>
      <c r="J236" s="19">
        <v>34444</v>
      </c>
      <c r="K236" s="19">
        <v>241</v>
      </c>
      <c r="L236" s="19">
        <f t="shared" si="6"/>
        <v>4513</v>
      </c>
      <c r="M236" s="4" t="s">
        <v>27</v>
      </c>
      <c r="N236" s="3" t="s">
        <v>27</v>
      </c>
      <c r="O236" s="3"/>
      <c r="P236" s="10"/>
      <c r="Q236" s="3" t="s">
        <v>28</v>
      </c>
      <c r="R236" s="67">
        <f t="shared" si="7"/>
        <v>0.1283706906360223</v>
      </c>
    </row>
    <row r="237" spans="1:18" ht="14.25" customHeight="1" x14ac:dyDescent="0.3">
      <c r="A237" s="3" t="s">
        <v>300</v>
      </c>
      <c r="B237" s="3" t="s">
        <v>38</v>
      </c>
      <c r="C237" s="10">
        <v>45523</v>
      </c>
      <c r="D237" s="3" t="s">
        <v>20</v>
      </c>
      <c r="E237" s="3" t="s">
        <v>47</v>
      </c>
      <c r="F237" s="19">
        <v>1257</v>
      </c>
      <c r="G237" s="19">
        <v>19</v>
      </c>
      <c r="H237" s="19">
        <v>351</v>
      </c>
      <c r="I237" s="19">
        <v>12570</v>
      </c>
      <c r="J237" s="19">
        <v>11660</v>
      </c>
      <c r="K237" s="19">
        <v>194</v>
      </c>
      <c r="L237" s="19">
        <f t="shared" si="6"/>
        <v>1627</v>
      </c>
      <c r="M237" s="4" t="s">
        <v>301</v>
      </c>
      <c r="N237" s="3" t="s">
        <v>51</v>
      </c>
      <c r="O237" s="3" t="s">
        <v>392</v>
      </c>
      <c r="P237" s="10" t="s">
        <v>33</v>
      </c>
      <c r="Q237" s="3" t="s">
        <v>23</v>
      </c>
      <c r="R237" s="67">
        <f t="shared" si="7"/>
        <v>0.12943516308671441</v>
      </c>
    </row>
    <row r="238" spans="1:18" ht="14.25" customHeight="1" x14ac:dyDescent="0.3">
      <c r="A238" s="3" t="s">
        <v>302</v>
      </c>
      <c r="B238" s="3" t="s">
        <v>30</v>
      </c>
      <c r="C238" s="10">
        <v>45587</v>
      </c>
      <c r="D238" s="3" t="s">
        <v>31</v>
      </c>
      <c r="E238" s="3" t="s">
        <v>32</v>
      </c>
      <c r="F238" s="19">
        <v>3770</v>
      </c>
      <c r="G238" s="19">
        <v>917</v>
      </c>
      <c r="H238" s="19">
        <v>129</v>
      </c>
      <c r="I238" s="19">
        <v>71630</v>
      </c>
      <c r="J238" s="19">
        <v>71322</v>
      </c>
      <c r="K238" s="19">
        <v>76</v>
      </c>
      <c r="L238" s="19">
        <f t="shared" si="6"/>
        <v>4816</v>
      </c>
      <c r="M238" s="4" t="s">
        <v>51</v>
      </c>
      <c r="N238" s="3" t="s">
        <v>51</v>
      </c>
      <c r="O238" s="3"/>
      <c r="P238" s="10"/>
      <c r="Q238" s="3" t="s">
        <v>18</v>
      </c>
      <c r="R238" s="67">
        <f t="shared" si="7"/>
        <v>6.7234398994834563E-2</v>
      </c>
    </row>
    <row r="239" spans="1:18" ht="14.25" customHeight="1" x14ac:dyDescent="0.3">
      <c r="A239" s="3" t="s">
        <v>303</v>
      </c>
      <c r="B239" s="3" t="s">
        <v>14</v>
      </c>
      <c r="C239" s="10">
        <v>45489</v>
      </c>
      <c r="D239" s="3" t="s">
        <v>20</v>
      </c>
      <c r="E239" s="3" t="s">
        <v>21</v>
      </c>
      <c r="F239" s="19">
        <v>4725</v>
      </c>
      <c r="G239" s="19">
        <v>400</v>
      </c>
      <c r="H239" s="19">
        <v>362</v>
      </c>
      <c r="I239" s="19">
        <v>75600</v>
      </c>
      <c r="J239" s="19">
        <v>74927</v>
      </c>
      <c r="K239" s="19">
        <v>43</v>
      </c>
      <c r="L239" s="19">
        <f t="shared" si="6"/>
        <v>5487</v>
      </c>
      <c r="M239" s="4" t="s">
        <v>51</v>
      </c>
      <c r="N239" s="3" t="s">
        <v>51</v>
      </c>
      <c r="O239" s="3"/>
      <c r="P239" s="10"/>
      <c r="Q239" s="3" t="s">
        <v>34</v>
      </c>
      <c r="R239" s="67">
        <f t="shared" si="7"/>
        <v>7.2579365079365077E-2</v>
      </c>
    </row>
    <row r="240" spans="1:18" ht="14.25" customHeight="1" x14ac:dyDescent="0.3">
      <c r="A240" s="3" t="s">
        <v>304</v>
      </c>
      <c r="B240" s="3" t="s">
        <v>25</v>
      </c>
      <c r="C240" s="10">
        <v>45712</v>
      </c>
      <c r="D240" s="3" t="s">
        <v>20</v>
      </c>
      <c r="E240" s="3" t="s">
        <v>77</v>
      </c>
      <c r="F240" s="19">
        <v>4188</v>
      </c>
      <c r="G240" s="19">
        <v>942</v>
      </c>
      <c r="H240" s="19">
        <v>118</v>
      </c>
      <c r="I240" s="19">
        <v>20940</v>
      </c>
      <c r="J240" s="19">
        <v>20471</v>
      </c>
      <c r="K240" s="19">
        <v>102</v>
      </c>
      <c r="L240" s="19">
        <f t="shared" si="6"/>
        <v>5248</v>
      </c>
      <c r="M240" s="4" t="s">
        <v>51</v>
      </c>
      <c r="N240" s="3" t="s">
        <v>51</v>
      </c>
      <c r="O240" s="3"/>
      <c r="P240" s="10"/>
      <c r="Q240" s="3" t="s">
        <v>397</v>
      </c>
      <c r="R240" s="67">
        <f t="shared" si="7"/>
        <v>0.25062082139446035</v>
      </c>
    </row>
    <row r="241" spans="1:18" ht="14.25" customHeight="1" x14ac:dyDescent="0.3">
      <c r="A241" s="3" t="s">
        <v>305</v>
      </c>
      <c r="B241" s="3" t="s">
        <v>14</v>
      </c>
      <c r="C241" s="10">
        <v>45530</v>
      </c>
      <c r="D241" s="3" t="s">
        <v>39</v>
      </c>
      <c r="E241" s="3" t="s">
        <v>42</v>
      </c>
      <c r="F241" s="19">
        <v>929</v>
      </c>
      <c r="G241" s="19">
        <v>192</v>
      </c>
      <c r="H241" s="19">
        <v>322</v>
      </c>
      <c r="I241" s="19">
        <v>16722</v>
      </c>
      <c r="J241" s="19">
        <v>15996</v>
      </c>
      <c r="K241" s="19">
        <v>145</v>
      </c>
      <c r="L241" s="19">
        <f t="shared" si="6"/>
        <v>1443</v>
      </c>
      <c r="M241" s="4" t="s">
        <v>117</v>
      </c>
      <c r="N241" s="3" t="s">
        <v>33</v>
      </c>
      <c r="O241" s="3" t="s">
        <v>27</v>
      </c>
      <c r="P241" s="10" t="s">
        <v>392</v>
      </c>
      <c r="Q241" s="3" t="s">
        <v>28</v>
      </c>
      <c r="R241" s="67">
        <f t="shared" si="7"/>
        <v>8.6293505561535699E-2</v>
      </c>
    </row>
    <row r="242" spans="1:18" ht="14.25" customHeight="1" x14ac:dyDescent="0.3">
      <c r="A242" s="3" t="s">
        <v>306</v>
      </c>
      <c r="B242" s="3" t="s">
        <v>38</v>
      </c>
      <c r="C242" s="10">
        <v>45675</v>
      </c>
      <c r="D242" s="3" t="s">
        <v>31</v>
      </c>
      <c r="E242" s="3" t="s">
        <v>57</v>
      </c>
      <c r="F242" s="19">
        <v>4321</v>
      </c>
      <c r="G242" s="19">
        <v>874</v>
      </c>
      <c r="H242" s="19">
        <v>172</v>
      </c>
      <c r="I242" s="19">
        <v>30247</v>
      </c>
      <c r="J242" s="19">
        <v>29254</v>
      </c>
      <c r="K242" s="19">
        <v>122</v>
      </c>
      <c r="L242" s="19">
        <f t="shared" si="6"/>
        <v>5367</v>
      </c>
      <c r="M242" s="4" t="s">
        <v>27</v>
      </c>
      <c r="N242" s="3" t="s">
        <v>27</v>
      </c>
      <c r="O242" s="3"/>
      <c r="P242" s="10"/>
      <c r="Q242" s="3" t="s">
        <v>34</v>
      </c>
      <c r="R242" s="67">
        <f t="shared" si="7"/>
        <v>0.17743908486792079</v>
      </c>
    </row>
    <row r="243" spans="1:18" ht="14.25" customHeight="1" x14ac:dyDescent="0.3">
      <c r="A243" s="3" t="s">
        <v>307</v>
      </c>
      <c r="B243" s="3" t="s">
        <v>38</v>
      </c>
      <c r="C243" s="10">
        <v>45480</v>
      </c>
      <c r="D243" s="3" t="s">
        <v>15</v>
      </c>
      <c r="E243" s="3" t="s">
        <v>53</v>
      </c>
      <c r="F243" s="19">
        <v>4767</v>
      </c>
      <c r="G243" s="19">
        <v>190</v>
      </c>
      <c r="H243" s="19">
        <v>340</v>
      </c>
      <c r="I243" s="19">
        <v>28602</v>
      </c>
      <c r="J243" s="19">
        <v>28044</v>
      </c>
      <c r="K243" s="19">
        <v>210</v>
      </c>
      <c r="L243" s="19">
        <f t="shared" si="6"/>
        <v>5297</v>
      </c>
      <c r="M243" s="4" t="s">
        <v>33</v>
      </c>
      <c r="N243" s="3" t="s">
        <v>33</v>
      </c>
      <c r="O243" s="3"/>
      <c r="P243" s="10"/>
      <c r="Q243" s="3" t="s">
        <v>28</v>
      </c>
      <c r="R243" s="67">
        <f t="shared" si="7"/>
        <v>0.18519683938186141</v>
      </c>
    </row>
    <row r="244" spans="1:18" ht="14.25" customHeight="1" x14ac:dyDescent="0.3">
      <c r="A244" s="3" t="s">
        <v>308</v>
      </c>
      <c r="B244" s="3" t="s">
        <v>14</v>
      </c>
      <c r="C244" s="10">
        <v>45722</v>
      </c>
      <c r="D244" s="3" t="s">
        <v>44</v>
      </c>
      <c r="E244" s="3" t="s">
        <v>92</v>
      </c>
      <c r="F244" s="19">
        <v>3592</v>
      </c>
      <c r="G244" s="19">
        <v>911</v>
      </c>
      <c r="H244" s="19">
        <v>375</v>
      </c>
      <c r="I244" s="19">
        <v>50288</v>
      </c>
      <c r="J244" s="19">
        <v>49490</v>
      </c>
      <c r="K244" s="19">
        <v>32</v>
      </c>
      <c r="L244" s="19">
        <f t="shared" si="6"/>
        <v>4878</v>
      </c>
      <c r="M244" s="4" t="s">
        <v>51</v>
      </c>
      <c r="N244" s="3" t="s">
        <v>51</v>
      </c>
      <c r="O244" s="3"/>
      <c r="P244" s="10"/>
      <c r="Q244" s="3" t="s">
        <v>34</v>
      </c>
      <c r="R244" s="67">
        <f t="shared" si="7"/>
        <v>9.7001272669424113E-2</v>
      </c>
    </row>
    <row r="245" spans="1:18" ht="14.25" customHeight="1" x14ac:dyDescent="0.3">
      <c r="A245" s="3" t="s">
        <v>309</v>
      </c>
      <c r="B245" s="3" t="s">
        <v>25</v>
      </c>
      <c r="C245" s="10">
        <v>45590</v>
      </c>
      <c r="D245" s="3" t="s">
        <v>59</v>
      </c>
      <c r="E245" s="3" t="s">
        <v>143</v>
      </c>
      <c r="F245" s="19">
        <v>4661</v>
      </c>
      <c r="G245" s="19">
        <v>935</v>
      </c>
      <c r="H245" s="19">
        <v>433</v>
      </c>
      <c r="I245" s="19">
        <v>23305</v>
      </c>
      <c r="J245" s="19">
        <v>22583</v>
      </c>
      <c r="K245" s="19">
        <v>63</v>
      </c>
      <c r="L245" s="19">
        <f t="shared" si="6"/>
        <v>6029</v>
      </c>
      <c r="M245" s="4" t="s">
        <v>51</v>
      </c>
      <c r="N245" s="3" t="s">
        <v>51</v>
      </c>
      <c r="O245" s="3"/>
      <c r="P245" s="10"/>
      <c r="Q245" s="3" t="s">
        <v>28</v>
      </c>
      <c r="R245" s="67">
        <f t="shared" si="7"/>
        <v>0.25869984981763572</v>
      </c>
    </row>
    <row r="246" spans="1:18" ht="14.25" customHeight="1" x14ac:dyDescent="0.3">
      <c r="A246" s="3" t="s">
        <v>310</v>
      </c>
      <c r="B246" s="3" t="s">
        <v>38</v>
      </c>
      <c r="C246" s="10">
        <v>45669</v>
      </c>
      <c r="D246" s="3" t="s">
        <v>15</v>
      </c>
      <c r="E246" s="3" t="s">
        <v>53</v>
      </c>
      <c r="F246" s="19">
        <v>4134</v>
      </c>
      <c r="G246" s="19">
        <v>824</v>
      </c>
      <c r="H246" s="19">
        <v>99</v>
      </c>
      <c r="I246" s="19">
        <v>41340</v>
      </c>
      <c r="J246" s="19">
        <v>41050</v>
      </c>
      <c r="K246" s="19">
        <v>177</v>
      </c>
      <c r="L246" s="19">
        <f t="shared" si="6"/>
        <v>5057</v>
      </c>
      <c r="M246" s="4" t="s">
        <v>33</v>
      </c>
      <c r="N246" s="3" t="s">
        <v>33</v>
      </c>
      <c r="O246" s="3"/>
      <c r="P246" s="10"/>
      <c r="Q246" s="3" t="s">
        <v>18</v>
      </c>
      <c r="R246" s="67">
        <f t="shared" si="7"/>
        <v>0.12232704402515723</v>
      </c>
    </row>
    <row r="247" spans="1:18" ht="14.25" customHeight="1" x14ac:dyDescent="0.3">
      <c r="A247" s="3" t="s">
        <v>311</v>
      </c>
      <c r="B247" s="3" t="s">
        <v>38</v>
      </c>
      <c r="C247" s="10">
        <v>45576</v>
      </c>
      <c r="D247" s="3" t="s">
        <v>44</v>
      </c>
      <c r="E247" s="3" t="s">
        <v>49</v>
      </c>
      <c r="F247" s="19">
        <v>400</v>
      </c>
      <c r="G247" s="19">
        <v>680</v>
      </c>
      <c r="H247" s="19">
        <v>434</v>
      </c>
      <c r="I247" s="19">
        <v>6400</v>
      </c>
      <c r="J247" s="19">
        <v>5472</v>
      </c>
      <c r="K247" s="19">
        <v>160</v>
      </c>
      <c r="L247" s="19">
        <f t="shared" si="6"/>
        <v>1514</v>
      </c>
      <c r="M247" s="4" t="s">
        <v>51</v>
      </c>
      <c r="N247" s="3" t="s">
        <v>51</v>
      </c>
      <c r="O247" s="3"/>
      <c r="P247" s="10"/>
      <c r="Q247" s="3" t="s">
        <v>23</v>
      </c>
      <c r="R247" s="67">
        <f t="shared" si="7"/>
        <v>0.23656250000000001</v>
      </c>
    </row>
    <row r="248" spans="1:18" ht="14.25" customHeight="1" x14ac:dyDescent="0.3">
      <c r="A248" s="3" t="s">
        <v>312</v>
      </c>
      <c r="B248" s="3" t="s">
        <v>38</v>
      </c>
      <c r="C248" s="10">
        <v>45531</v>
      </c>
      <c r="D248" s="3" t="s">
        <v>15</v>
      </c>
      <c r="E248" s="3" t="s">
        <v>53</v>
      </c>
      <c r="F248" s="19">
        <v>3960</v>
      </c>
      <c r="G248" s="19">
        <v>266</v>
      </c>
      <c r="H248" s="19">
        <v>8</v>
      </c>
      <c r="I248" s="19">
        <v>35640</v>
      </c>
      <c r="J248" s="19">
        <v>34850</v>
      </c>
      <c r="K248" s="19">
        <v>208</v>
      </c>
      <c r="L248" s="19">
        <f t="shared" si="6"/>
        <v>4234</v>
      </c>
      <c r="M248" s="4" t="s">
        <v>313</v>
      </c>
      <c r="N248" s="3" t="s">
        <v>51</v>
      </c>
      <c r="O248" s="3" t="s">
        <v>33</v>
      </c>
      <c r="P248" s="10" t="s">
        <v>393</v>
      </c>
      <c r="Q248" s="3" t="s">
        <v>397</v>
      </c>
      <c r="R248" s="67">
        <f t="shared" si="7"/>
        <v>0.11879910213243547</v>
      </c>
    </row>
    <row r="249" spans="1:18" ht="14.25" customHeight="1" x14ac:dyDescent="0.3">
      <c r="A249" s="3" t="s">
        <v>314</v>
      </c>
      <c r="B249" s="3" t="s">
        <v>38</v>
      </c>
      <c r="C249" s="10">
        <v>45690</v>
      </c>
      <c r="D249" s="3" t="s">
        <v>31</v>
      </c>
      <c r="E249" s="3" t="s">
        <v>57</v>
      </c>
      <c r="F249" s="19">
        <v>886</v>
      </c>
      <c r="G249" s="19">
        <v>126</v>
      </c>
      <c r="H249" s="19">
        <v>153</v>
      </c>
      <c r="I249" s="19">
        <v>4430</v>
      </c>
      <c r="J249" s="19">
        <v>4037</v>
      </c>
      <c r="K249" s="19">
        <v>212</v>
      </c>
      <c r="L249" s="19">
        <f t="shared" si="6"/>
        <v>1165</v>
      </c>
      <c r="M249" s="4" t="s">
        <v>33</v>
      </c>
      <c r="N249" s="3" t="s">
        <v>33</v>
      </c>
      <c r="O249" s="3"/>
      <c r="P249" s="10"/>
      <c r="Q249" s="3" t="s">
        <v>397</v>
      </c>
      <c r="R249" s="67">
        <f t="shared" si="7"/>
        <v>0.26297968397291194</v>
      </c>
    </row>
    <row r="250" spans="1:18" ht="14.25" customHeight="1" x14ac:dyDescent="0.3">
      <c r="A250" s="3" t="s">
        <v>315</v>
      </c>
      <c r="B250" s="3" t="s">
        <v>14</v>
      </c>
      <c r="C250" s="10">
        <v>45491</v>
      </c>
      <c r="D250" s="3" t="s">
        <v>44</v>
      </c>
      <c r="E250" s="3" t="s">
        <v>92</v>
      </c>
      <c r="F250" s="19">
        <v>827</v>
      </c>
      <c r="G250" s="19">
        <v>77</v>
      </c>
      <c r="H250" s="19">
        <v>402</v>
      </c>
      <c r="I250" s="19">
        <v>14886</v>
      </c>
      <c r="J250" s="19">
        <v>14129</v>
      </c>
      <c r="K250" s="19">
        <v>254</v>
      </c>
      <c r="L250" s="19">
        <f t="shared" si="6"/>
        <v>1306</v>
      </c>
      <c r="M250" s="4" t="s">
        <v>33</v>
      </c>
      <c r="N250" s="3" t="s">
        <v>33</v>
      </c>
      <c r="O250" s="3"/>
      <c r="P250" s="10"/>
      <c r="Q250" s="3" t="s">
        <v>23</v>
      </c>
      <c r="R250" s="67">
        <f t="shared" si="7"/>
        <v>8.7733440816874911E-2</v>
      </c>
    </row>
    <row r="251" spans="1:18" ht="14.25" customHeight="1" x14ac:dyDescent="0.3">
      <c r="A251" s="3" t="s">
        <v>316</v>
      </c>
      <c r="B251" s="3" t="s">
        <v>38</v>
      </c>
      <c r="C251" s="10">
        <v>45465</v>
      </c>
      <c r="D251" s="3" t="s">
        <v>15</v>
      </c>
      <c r="E251" s="3" t="s">
        <v>53</v>
      </c>
      <c r="F251" s="19">
        <v>3813</v>
      </c>
      <c r="G251" s="19">
        <v>935</v>
      </c>
      <c r="H251" s="19">
        <v>274</v>
      </c>
      <c r="I251" s="19">
        <v>68634</v>
      </c>
      <c r="J251" s="19">
        <v>68488</v>
      </c>
      <c r="K251" s="19">
        <v>251</v>
      </c>
      <c r="L251" s="19">
        <f t="shared" si="6"/>
        <v>5022</v>
      </c>
      <c r="M251" s="4" t="s">
        <v>51</v>
      </c>
      <c r="N251" s="3" t="s">
        <v>51</v>
      </c>
      <c r="O251" s="3"/>
      <c r="P251" s="10"/>
      <c r="Q251" s="3" t="s">
        <v>397</v>
      </c>
      <c r="R251" s="67">
        <f t="shared" si="7"/>
        <v>7.3170731707317069E-2</v>
      </c>
    </row>
    <row r="252" spans="1:18" ht="14.25" customHeight="1" x14ac:dyDescent="0.3">
      <c r="A252" s="3" t="s">
        <v>317</v>
      </c>
      <c r="B252" s="3" t="s">
        <v>30</v>
      </c>
      <c r="C252" s="10">
        <v>45743</v>
      </c>
      <c r="D252" s="3" t="s">
        <v>39</v>
      </c>
      <c r="E252" s="3" t="s">
        <v>68</v>
      </c>
      <c r="F252" s="19">
        <v>1377</v>
      </c>
      <c r="G252" s="19">
        <v>796</v>
      </c>
      <c r="H252" s="19">
        <v>387</v>
      </c>
      <c r="I252" s="19">
        <v>22032</v>
      </c>
      <c r="J252" s="19">
        <v>21869</v>
      </c>
      <c r="K252" s="19">
        <v>189</v>
      </c>
      <c r="L252" s="19">
        <f t="shared" si="6"/>
        <v>2560</v>
      </c>
      <c r="M252" s="4" t="s">
        <v>51</v>
      </c>
      <c r="N252" s="3" t="s">
        <v>51</v>
      </c>
      <c r="O252" s="3"/>
      <c r="P252" s="10"/>
      <c r="Q252" s="3" t="s">
        <v>397</v>
      </c>
      <c r="R252" s="67">
        <f t="shared" si="7"/>
        <v>0.11619462599854757</v>
      </c>
    </row>
    <row r="253" spans="1:18" ht="14.25" customHeight="1" x14ac:dyDescent="0.3">
      <c r="A253" s="3" t="s">
        <v>318</v>
      </c>
      <c r="B253" s="3" t="s">
        <v>38</v>
      </c>
      <c r="C253" s="10">
        <v>45775</v>
      </c>
      <c r="D253" s="3" t="s">
        <v>39</v>
      </c>
      <c r="E253" s="3" t="s">
        <v>40</v>
      </c>
      <c r="F253" s="19">
        <v>2089</v>
      </c>
      <c r="G253" s="19">
        <v>476</v>
      </c>
      <c r="H253" s="19">
        <v>69</v>
      </c>
      <c r="I253" s="19">
        <v>16712</v>
      </c>
      <c r="J253" s="19">
        <v>16309</v>
      </c>
      <c r="K253" s="19">
        <v>64</v>
      </c>
      <c r="L253" s="19">
        <f t="shared" si="6"/>
        <v>2634</v>
      </c>
      <c r="M253" s="4" t="s">
        <v>51</v>
      </c>
      <c r="N253" s="3" t="s">
        <v>51</v>
      </c>
      <c r="O253" s="3"/>
      <c r="P253" s="10"/>
      <c r="Q253" s="3" t="s">
        <v>28</v>
      </c>
      <c r="R253" s="67">
        <f t="shared" si="7"/>
        <v>0.15761129727142173</v>
      </c>
    </row>
    <row r="254" spans="1:18" ht="14.25" customHeight="1" x14ac:dyDescent="0.3">
      <c r="A254" s="3" t="s">
        <v>319</v>
      </c>
      <c r="B254" s="3" t="s">
        <v>14</v>
      </c>
      <c r="C254" s="10">
        <v>45507</v>
      </c>
      <c r="D254" s="3" t="s">
        <v>15</v>
      </c>
      <c r="E254" s="3" t="s">
        <v>16</v>
      </c>
      <c r="F254" s="19">
        <v>3791</v>
      </c>
      <c r="G254" s="19">
        <v>593</v>
      </c>
      <c r="H254" s="19">
        <v>228</v>
      </c>
      <c r="I254" s="19">
        <v>53074</v>
      </c>
      <c r="J254" s="19">
        <v>52613</v>
      </c>
      <c r="K254" s="19">
        <v>205</v>
      </c>
      <c r="L254" s="19">
        <f t="shared" si="6"/>
        <v>4612</v>
      </c>
      <c r="M254" s="4" t="s">
        <v>33</v>
      </c>
      <c r="N254" s="3" t="s">
        <v>33</v>
      </c>
      <c r="O254" s="3"/>
      <c r="P254" s="10"/>
      <c r="Q254" s="3" t="s">
        <v>397</v>
      </c>
      <c r="R254" s="67">
        <f t="shared" si="7"/>
        <v>8.6897539284772202E-2</v>
      </c>
    </row>
    <row r="255" spans="1:18" ht="14.25" customHeight="1" x14ac:dyDescent="0.3">
      <c r="A255" s="3" t="s">
        <v>320</v>
      </c>
      <c r="B255" s="3" t="s">
        <v>14</v>
      </c>
      <c r="C255" s="10">
        <v>45671</v>
      </c>
      <c r="D255" s="3" t="s">
        <v>44</v>
      </c>
      <c r="E255" s="3" t="s">
        <v>92</v>
      </c>
      <c r="F255" s="19">
        <v>2692</v>
      </c>
      <c r="G255" s="19">
        <v>115</v>
      </c>
      <c r="H255" s="19">
        <v>64</v>
      </c>
      <c r="I255" s="19">
        <v>21536</v>
      </c>
      <c r="J255" s="19">
        <v>21120</v>
      </c>
      <c r="K255" s="19">
        <v>224</v>
      </c>
      <c r="L255" s="19">
        <f t="shared" si="6"/>
        <v>2871</v>
      </c>
      <c r="M255" s="4" t="s">
        <v>51</v>
      </c>
      <c r="N255" s="3" t="s">
        <v>51</v>
      </c>
      <c r="O255" s="3"/>
      <c r="P255" s="10"/>
      <c r="Q255" s="3" t="s">
        <v>23</v>
      </c>
      <c r="R255" s="67">
        <f t="shared" si="7"/>
        <v>0.13331166419019316</v>
      </c>
    </row>
    <row r="256" spans="1:18" ht="14.25" customHeight="1" x14ac:dyDescent="0.3">
      <c r="A256" s="3" t="s">
        <v>321</v>
      </c>
      <c r="B256" s="3" t="s">
        <v>38</v>
      </c>
      <c r="C256" s="10">
        <v>45750</v>
      </c>
      <c r="D256" s="3" t="s">
        <v>31</v>
      </c>
      <c r="E256" s="3" t="s">
        <v>57</v>
      </c>
      <c r="F256" s="19">
        <v>3767</v>
      </c>
      <c r="G256" s="19">
        <v>514</v>
      </c>
      <c r="H256" s="19">
        <v>238</v>
      </c>
      <c r="I256" s="19">
        <v>37670</v>
      </c>
      <c r="J256" s="19">
        <v>36807</v>
      </c>
      <c r="K256" s="19">
        <v>226</v>
      </c>
      <c r="L256" s="19">
        <f t="shared" si="6"/>
        <v>4519</v>
      </c>
      <c r="M256" s="4" t="s">
        <v>51</v>
      </c>
      <c r="N256" s="3" t="s">
        <v>51</v>
      </c>
      <c r="O256" s="3"/>
      <c r="P256" s="10"/>
      <c r="Q256" s="3" t="s">
        <v>34</v>
      </c>
      <c r="R256" s="67">
        <f t="shared" si="7"/>
        <v>0.11996283514733209</v>
      </c>
    </row>
    <row r="257" spans="1:18" ht="14.25" customHeight="1" x14ac:dyDescent="0.3">
      <c r="A257" s="3" t="s">
        <v>322</v>
      </c>
      <c r="B257" s="3" t="s">
        <v>25</v>
      </c>
      <c r="C257" s="10">
        <v>45553</v>
      </c>
      <c r="D257" s="3" t="s">
        <v>39</v>
      </c>
      <c r="E257" s="3" t="s">
        <v>55</v>
      </c>
      <c r="F257" s="19">
        <v>2143</v>
      </c>
      <c r="G257" s="19">
        <v>12</v>
      </c>
      <c r="H257" s="19">
        <v>204</v>
      </c>
      <c r="I257" s="19">
        <v>40717</v>
      </c>
      <c r="J257" s="19">
        <v>40125</v>
      </c>
      <c r="K257" s="19">
        <v>248</v>
      </c>
      <c r="L257" s="19">
        <f t="shared" si="6"/>
        <v>2359</v>
      </c>
      <c r="M257" s="4" t="s">
        <v>33</v>
      </c>
      <c r="N257" s="3" t="s">
        <v>33</v>
      </c>
      <c r="O257" s="3"/>
      <c r="P257" s="10"/>
      <c r="Q257" s="3" t="s">
        <v>23</v>
      </c>
      <c r="R257" s="67">
        <f t="shared" si="7"/>
        <v>5.7936488444630008E-2</v>
      </c>
    </row>
    <row r="258" spans="1:18" ht="14.25" customHeight="1" x14ac:dyDescent="0.3">
      <c r="A258" s="3" t="s">
        <v>323</v>
      </c>
      <c r="B258" s="3" t="s">
        <v>38</v>
      </c>
      <c r="C258" s="10">
        <v>45753</v>
      </c>
      <c r="D258" s="3" t="s">
        <v>44</v>
      </c>
      <c r="E258" s="3" t="s">
        <v>49</v>
      </c>
      <c r="F258" s="19">
        <v>3090</v>
      </c>
      <c r="G258" s="19">
        <v>697</v>
      </c>
      <c r="H258" s="19">
        <v>164</v>
      </c>
      <c r="I258" s="19">
        <v>49440</v>
      </c>
      <c r="J258" s="19">
        <v>48524</v>
      </c>
      <c r="K258" s="19">
        <v>25</v>
      </c>
      <c r="L258" s="19">
        <f t="shared" si="6"/>
        <v>3951</v>
      </c>
      <c r="M258" s="4" t="s">
        <v>324</v>
      </c>
      <c r="N258" s="3" t="s">
        <v>33</v>
      </c>
      <c r="O258" s="3" t="s">
        <v>33</v>
      </c>
      <c r="P258" s="10" t="s">
        <v>393</v>
      </c>
      <c r="Q258" s="3" t="s">
        <v>23</v>
      </c>
      <c r="R258" s="67">
        <f t="shared" si="7"/>
        <v>7.9915048543689318E-2</v>
      </c>
    </row>
    <row r="259" spans="1:18" ht="14.25" customHeight="1" x14ac:dyDescent="0.3">
      <c r="A259" s="3" t="s">
        <v>325</v>
      </c>
      <c r="B259" s="3" t="s">
        <v>30</v>
      </c>
      <c r="C259" s="10">
        <v>45509</v>
      </c>
      <c r="D259" s="3" t="s">
        <v>31</v>
      </c>
      <c r="E259" s="3" t="s">
        <v>32</v>
      </c>
      <c r="F259" s="19">
        <v>3601</v>
      </c>
      <c r="G259" s="19">
        <v>695</v>
      </c>
      <c r="H259" s="19">
        <v>75</v>
      </c>
      <c r="I259" s="19">
        <v>21606</v>
      </c>
      <c r="J259" s="19">
        <v>21454</v>
      </c>
      <c r="K259" s="19">
        <v>172</v>
      </c>
      <c r="L259" s="19">
        <f t="shared" ref="L259:L301" si="8">SUM($F259:$H259)</f>
        <v>4371</v>
      </c>
      <c r="M259" s="4" t="s">
        <v>33</v>
      </c>
      <c r="N259" s="3" t="s">
        <v>33</v>
      </c>
      <c r="O259" s="3"/>
      <c r="P259" s="10"/>
      <c r="Q259" s="3" t="s">
        <v>23</v>
      </c>
      <c r="R259" s="67">
        <f t="shared" ref="R259:R301" si="9">SUM(F259:H259)/I259</f>
        <v>0.2023049153013052</v>
      </c>
    </row>
    <row r="260" spans="1:18" ht="14.25" customHeight="1" x14ac:dyDescent="0.3">
      <c r="A260" s="3" t="s">
        <v>326</v>
      </c>
      <c r="B260" s="3" t="s">
        <v>38</v>
      </c>
      <c r="C260" s="10">
        <v>45698</v>
      </c>
      <c r="D260" s="3" t="s">
        <v>20</v>
      </c>
      <c r="E260" s="3" t="s">
        <v>47</v>
      </c>
      <c r="F260" s="19">
        <v>562</v>
      </c>
      <c r="G260" s="19">
        <v>158</v>
      </c>
      <c r="H260" s="19">
        <v>149</v>
      </c>
      <c r="I260" s="19">
        <v>3372</v>
      </c>
      <c r="J260" s="19">
        <v>2940</v>
      </c>
      <c r="K260" s="19">
        <v>93</v>
      </c>
      <c r="L260" s="19">
        <f t="shared" si="8"/>
        <v>869</v>
      </c>
      <c r="M260" s="4" t="s">
        <v>27</v>
      </c>
      <c r="N260" s="3" t="s">
        <v>27</v>
      </c>
      <c r="O260" s="3"/>
      <c r="P260" s="10"/>
      <c r="Q260" s="3" t="s">
        <v>18</v>
      </c>
      <c r="R260" s="67">
        <f t="shared" si="9"/>
        <v>0.25771055753262156</v>
      </c>
    </row>
    <row r="261" spans="1:18" ht="14.25" customHeight="1" x14ac:dyDescent="0.3">
      <c r="A261" s="3" t="s">
        <v>327</v>
      </c>
      <c r="B261" s="3" t="s">
        <v>30</v>
      </c>
      <c r="C261" s="10">
        <v>45700</v>
      </c>
      <c r="D261" s="3" t="s">
        <v>31</v>
      </c>
      <c r="E261" s="3" t="s">
        <v>32</v>
      </c>
      <c r="F261" s="19">
        <v>4332</v>
      </c>
      <c r="G261" s="19">
        <v>771</v>
      </c>
      <c r="H261" s="19">
        <v>219</v>
      </c>
      <c r="I261" s="19">
        <v>60648</v>
      </c>
      <c r="J261" s="19">
        <v>60397</v>
      </c>
      <c r="K261" s="19">
        <v>10</v>
      </c>
      <c r="L261" s="19">
        <f t="shared" si="8"/>
        <v>5322</v>
      </c>
      <c r="M261" s="4" t="s">
        <v>328</v>
      </c>
      <c r="N261" s="3" t="s">
        <v>27</v>
      </c>
      <c r="O261" s="3" t="s">
        <v>33</v>
      </c>
      <c r="P261" s="10" t="s">
        <v>393</v>
      </c>
      <c r="Q261" s="3" t="s">
        <v>28</v>
      </c>
      <c r="R261" s="67">
        <f t="shared" si="9"/>
        <v>8.7752275425405618E-2</v>
      </c>
    </row>
    <row r="262" spans="1:18" ht="14.25" customHeight="1" x14ac:dyDescent="0.3">
      <c r="A262" s="3" t="s">
        <v>329</v>
      </c>
      <c r="B262" s="3" t="s">
        <v>30</v>
      </c>
      <c r="C262" s="10">
        <v>45592</v>
      </c>
      <c r="D262" s="3" t="s">
        <v>44</v>
      </c>
      <c r="E262" s="3" t="s">
        <v>140</v>
      </c>
      <c r="F262" s="19">
        <v>4853</v>
      </c>
      <c r="G262" s="19">
        <v>837</v>
      </c>
      <c r="H262" s="19">
        <v>340</v>
      </c>
      <c r="I262" s="19">
        <v>72795</v>
      </c>
      <c r="J262" s="19">
        <v>72237</v>
      </c>
      <c r="K262" s="19">
        <v>170</v>
      </c>
      <c r="L262" s="19">
        <f t="shared" si="8"/>
        <v>6030</v>
      </c>
      <c r="M262" s="4" t="s">
        <v>33</v>
      </c>
      <c r="N262" s="3" t="s">
        <v>33</v>
      </c>
      <c r="O262" s="3"/>
      <c r="P262" s="10"/>
      <c r="Q262" s="3" t="s">
        <v>18</v>
      </c>
      <c r="R262" s="67">
        <f t="shared" si="9"/>
        <v>8.2835359571399134E-2</v>
      </c>
    </row>
    <row r="263" spans="1:18" ht="14.25" customHeight="1" x14ac:dyDescent="0.3">
      <c r="A263" s="3" t="s">
        <v>330</v>
      </c>
      <c r="B263" s="3" t="s">
        <v>25</v>
      </c>
      <c r="C263" s="10">
        <v>45675</v>
      </c>
      <c r="D263" s="3" t="s">
        <v>44</v>
      </c>
      <c r="E263" s="3" t="s">
        <v>45</v>
      </c>
      <c r="F263" s="19">
        <v>1206</v>
      </c>
      <c r="G263" s="19">
        <v>238</v>
      </c>
      <c r="H263" s="19">
        <v>36</v>
      </c>
      <c r="I263" s="19">
        <v>9648</v>
      </c>
      <c r="J263" s="19">
        <v>9417</v>
      </c>
      <c r="K263" s="19">
        <v>237</v>
      </c>
      <c r="L263" s="19">
        <f t="shared" si="8"/>
        <v>1480</v>
      </c>
      <c r="M263" s="4" t="s">
        <v>27</v>
      </c>
      <c r="N263" s="3" t="s">
        <v>27</v>
      </c>
      <c r="O263" s="3"/>
      <c r="P263" s="10"/>
      <c r="Q263" s="3" t="s">
        <v>397</v>
      </c>
      <c r="R263" s="67">
        <f t="shared" si="9"/>
        <v>0.15339966832504145</v>
      </c>
    </row>
    <row r="264" spans="1:18" ht="14.25" customHeight="1" x14ac:dyDescent="0.3">
      <c r="A264" s="3" t="s">
        <v>331</v>
      </c>
      <c r="B264" s="3" t="s">
        <v>30</v>
      </c>
      <c r="C264" s="10">
        <v>45524</v>
      </c>
      <c r="D264" s="3" t="s">
        <v>15</v>
      </c>
      <c r="E264" s="3" t="s">
        <v>64</v>
      </c>
      <c r="F264" s="19">
        <v>2603</v>
      </c>
      <c r="G264" s="19">
        <v>690</v>
      </c>
      <c r="H264" s="19">
        <v>205</v>
      </c>
      <c r="I264" s="19">
        <v>13015</v>
      </c>
      <c r="J264" s="19">
        <v>12130</v>
      </c>
      <c r="K264" s="19">
        <v>20</v>
      </c>
      <c r="L264" s="19">
        <f t="shared" si="8"/>
        <v>3498</v>
      </c>
      <c r="M264" s="4" t="s">
        <v>51</v>
      </c>
      <c r="N264" s="3" t="s">
        <v>51</v>
      </c>
      <c r="O264" s="3"/>
      <c r="P264" s="10"/>
      <c r="Q264" s="3" t="s">
        <v>23</v>
      </c>
      <c r="R264" s="67">
        <f t="shared" si="9"/>
        <v>0.26876680752977333</v>
      </c>
    </row>
    <row r="265" spans="1:18" ht="14.25" customHeight="1" x14ac:dyDescent="0.3">
      <c r="A265" s="3" t="s">
        <v>332</v>
      </c>
      <c r="B265" s="3" t="s">
        <v>14</v>
      </c>
      <c r="C265" s="10">
        <v>45687</v>
      </c>
      <c r="D265" s="3" t="s">
        <v>44</v>
      </c>
      <c r="E265" s="3" t="s">
        <v>92</v>
      </c>
      <c r="F265" s="19">
        <v>59</v>
      </c>
      <c r="G265" s="19">
        <v>163</v>
      </c>
      <c r="H265" s="19">
        <v>93</v>
      </c>
      <c r="I265" s="19">
        <v>590</v>
      </c>
      <c r="J265" s="19">
        <v>475</v>
      </c>
      <c r="K265" s="19">
        <v>293</v>
      </c>
      <c r="L265" s="19">
        <f t="shared" si="8"/>
        <v>315</v>
      </c>
      <c r="M265" s="4" t="s">
        <v>27</v>
      </c>
      <c r="N265" s="3" t="s">
        <v>27</v>
      </c>
      <c r="O265" s="3"/>
      <c r="P265" s="10"/>
      <c r="Q265" s="3" t="s">
        <v>23</v>
      </c>
      <c r="R265" s="67">
        <f t="shared" si="9"/>
        <v>0.53389830508474578</v>
      </c>
    </row>
    <row r="266" spans="1:18" ht="14.25" customHeight="1" x14ac:dyDescent="0.3">
      <c r="A266" s="3" t="s">
        <v>333</v>
      </c>
      <c r="B266" s="3" t="s">
        <v>14</v>
      </c>
      <c r="C266" s="10">
        <v>45708</v>
      </c>
      <c r="D266" s="3" t="s">
        <v>39</v>
      </c>
      <c r="E266" s="3" t="s">
        <v>42</v>
      </c>
      <c r="F266" s="19">
        <v>1877</v>
      </c>
      <c r="G266" s="19">
        <v>745</v>
      </c>
      <c r="H266" s="19">
        <v>225</v>
      </c>
      <c r="I266" s="19">
        <v>11262</v>
      </c>
      <c r="J266" s="19">
        <v>10967</v>
      </c>
      <c r="K266" s="19">
        <v>41</v>
      </c>
      <c r="L266" s="19">
        <f t="shared" si="8"/>
        <v>2847</v>
      </c>
      <c r="M266" s="4" t="s">
        <v>33</v>
      </c>
      <c r="N266" s="3" t="s">
        <v>33</v>
      </c>
      <c r="O266" s="3"/>
      <c r="P266" s="10"/>
      <c r="Q266" s="3" t="s">
        <v>34</v>
      </c>
      <c r="R266" s="67">
        <f t="shared" si="9"/>
        <v>0.25279701651571657</v>
      </c>
    </row>
    <row r="267" spans="1:18" ht="14.25" customHeight="1" x14ac:dyDescent="0.3">
      <c r="A267" s="3" t="s">
        <v>334</v>
      </c>
      <c r="B267" s="3" t="s">
        <v>38</v>
      </c>
      <c r="C267" s="10">
        <v>45621</v>
      </c>
      <c r="D267" s="3" t="s">
        <v>31</v>
      </c>
      <c r="E267" s="3" t="s">
        <v>57</v>
      </c>
      <c r="F267" s="19">
        <v>4182</v>
      </c>
      <c r="G267" s="19">
        <v>640</v>
      </c>
      <c r="H267" s="19">
        <v>240</v>
      </c>
      <c r="I267" s="19">
        <v>50184</v>
      </c>
      <c r="J267" s="19">
        <v>49351</v>
      </c>
      <c r="K267" s="19">
        <v>10</v>
      </c>
      <c r="L267" s="19">
        <f t="shared" si="8"/>
        <v>5062</v>
      </c>
      <c r="M267" s="4" t="s">
        <v>27</v>
      </c>
      <c r="N267" s="3" t="s">
        <v>27</v>
      </c>
      <c r="O267" s="3"/>
      <c r="P267" s="10"/>
      <c r="Q267" s="3" t="s">
        <v>28</v>
      </c>
      <c r="R267" s="67">
        <f t="shared" si="9"/>
        <v>0.10086880280567512</v>
      </c>
    </row>
    <row r="268" spans="1:18" ht="14.25" customHeight="1" x14ac:dyDescent="0.3">
      <c r="A268" s="3" t="s">
        <v>335</v>
      </c>
      <c r="B268" s="3" t="s">
        <v>14</v>
      </c>
      <c r="C268" s="10">
        <v>45569</v>
      </c>
      <c r="D268" s="3" t="s">
        <v>15</v>
      </c>
      <c r="E268" s="3" t="s">
        <v>16</v>
      </c>
      <c r="F268" s="19">
        <v>4187</v>
      </c>
      <c r="G268" s="19">
        <v>66</v>
      </c>
      <c r="H268" s="19">
        <v>31</v>
      </c>
      <c r="I268" s="19">
        <v>66992</v>
      </c>
      <c r="J268" s="19">
        <v>66614</v>
      </c>
      <c r="K268" s="19">
        <v>62</v>
      </c>
      <c r="L268" s="19">
        <f t="shared" si="8"/>
        <v>4284</v>
      </c>
      <c r="M268" s="4" t="s">
        <v>51</v>
      </c>
      <c r="N268" s="3" t="s">
        <v>51</v>
      </c>
      <c r="O268" s="3"/>
      <c r="P268" s="10"/>
      <c r="Q268" s="3" t="s">
        <v>397</v>
      </c>
      <c r="R268" s="67">
        <f t="shared" si="9"/>
        <v>6.3947934081681396E-2</v>
      </c>
    </row>
    <row r="269" spans="1:18" ht="14.25" customHeight="1" x14ac:dyDescent="0.3">
      <c r="A269" s="3" t="s">
        <v>336</v>
      </c>
      <c r="B269" s="3" t="s">
        <v>30</v>
      </c>
      <c r="C269" s="10">
        <v>45760</v>
      </c>
      <c r="D269" s="3" t="s">
        <v>15</v>
      </c>
      <c r="E269" s="3" t="s">
        <v>64</v>
      </c>
      <c r="F269" s="19">
        <v>4579</v>
      </c>
      <c r="G269" s="19">
        <v>125</v>
      </c>
      <c r="H269" s="19">
        <v>300</v>
      </c>
      <c r="I269" s="19">
        <v>59527</v>
      </c>
      <c r="J269" s="19">
        <v>59400</v>
      </c>
      <c r="K269" s="19">
        <v>269</v>
      </c>
      <c r="L269" s="19">
        <f t="shared" si="8"/>
        <v>5004</v>
      </c>
      <c r="M269" s="4" t="s">
        <v>33</v>
      </c>
      <c r="N269" s="3" t="s">
        <v>33</v>
      </c>
      <c r="O269" s="3"/>
      <c r="P269" s="10"/>
      <c r="Q269" s="3" t="s">
        <v>18</v>
      </c>
      <c r="R269" s="67">
        <f t="shared" si="9"/>
        <v>8.4062694239588759E-2</v>
      </c>
    </row>
    <row r="270" spans="1:18" ht="14.25" customHeight="1" x14ac:dyDescent="0.3">
      <c r="A270" s="3" t="s">
        <v>337</v>
      </c>
      <c r="B270" s="3" t="s">
        <v>30</v>
      </c>
      <c r="C270" s="10">
        <v>45601</v>
      </c>
      <c r="D270" s="3" t="s">
        <v>59</v>
      </c>
      <c r="E270" s="3" t="s">
        <v>66</v>
      </c>
      <c r="F270" s="19">
        <v>4561</v>
      </c>
      <c r="G270" s="19">
        <v>51</v>
      </c>
      <c r="H270" s="19">
        <v>441</v>
      </c>
      <c r="I270" s="19">
        <v>22805</v>
      </c>
      <c r="J270" s="19">
        <v>21890</v>
      </c>
      <c r="K270" s="19">
        <v>45</v>
      </c>
      <c r="L270" s="19">
        <f t="shared" si="8"/>
        <v>5053</v>
      </c>
      <c r="M270" s="4" t="s">
        <v>27</v>
      </c>
      <c r="N270" s="3" t="s">
        <v>27</v>
      </c>
      <c r="O270" s="3"/>
      <c r="P270" s="10"/>
      <c r="Q270" s="3" t="s">
        <v>23</v>
      </c>
      <c r="R270" s="67">
        <f t="shared" si="9"/>
        <v>0.22157421618066214</v>
      </c>
    </row>
    <row r="271" spans="1:18" ht="14.25" customHeight="1" x14ac:dyDescent="0.3">
      <c r="A271" s="3" t="s">
        <v>338</v>
      </c>
      <c r="B271" s="3" t="s">
        <v>25</v>
      </c>
      <c r="C271" s="10">
        <v>45672</v>
      </c>
      <c r="D271" s="3" t="s">
        <v>15</v>
      </c>
      <c r="E271" s="3" t="s">
        <v>26</v>
      </c>
      <c r="F271" s="19">
        <v>3774</v>
      </c>
      <c r="G271" s="19">
        <v>239</v>
      </c>
      <c r="H271" s="19">
        <v>39</v>
      </c>
      <c r="I271" s="19">
        <v>60384</v>
      </c>
      <c r="J271" s="19">
        <v>59490</v>
      </c>
      <c r="K271" s="19">
        <v>241</v>
      </c>
      <c r="L271" s="19">
        <f t="shared" si="8"/>
        <v>4052</v>
      </c>
      <c r="M271" s="4" t="s">
        <v>27</v>
      </c>
      <c r="N271" s="3" t="s">
        <v>27</v>
      </c>
      <c r="O271" s="3"/>
      <c r="P271" s="10"/>
      <c r="Q271" s="3" t="s">
        <v>28</v>
      </c>
      <c r="R271" s="67">
        <f t="shared" si="9"/>
        <v>6.7103868574456813E-2</v>
      </c>
    </row>
    <row r="272" spans="1:18" ht="14.25" customHeight="1" x14ac:dyDescent="0.3">
      <c r="A272" s="3" t="s">
        <v>339</v>
      </c>
      <c r="B272" s="3" t="s">
        <v>30</v>
      </c>
      <c r="C272" s="10">
        <v>45582</v>
      </c>
      <c r="D272" s="3" t="s">
        <v>59</v>
      </c>
      <c r="E272" s="3" t="s">
        <v>66</v>
      </c>
      <c r="F272" s="19">
        <v>3575</v>
      </c>
      <c r="G272" s="19">
        <v>749</v>
      </c>
      <c r="H272" s="19">
        <v>111</v>
      </c>
      <c r="I272" s="19">
        <v>21450</v>
      </c>
      <c r="J272" s="19">
        <v>20785</v>
      </c>
      <c r="K272" s="19">
        <v>195</v>
      </c>
      <c r="L272" s="19">
        <f t="shared" si="8"/>
        <v>4435</v>
      </c>
      <c r="M272" s="4" t="s">
        <v>33</v>
      </c>
      <c r="N272" s="3" t="s">
        <v>33</v>
      </c>
      <c r="O272" s="3"/>
      <c r="P272" s="10"/>
      <c r="Q272" s="3" t="s">
        <v>23</v>
      </c>
      <c r="R272" s="67">
        <f t="shared" si="9"/>
        <v>0.20675990675990677</v>
      </c>
    </row>
    <row r="273" spans="1:18" ht="14.25" customHeight="1" x14ac:dyDescent="0.3">
      <c r="A273" s="3" t="s">
        <v>340</v>
      </c>
      <c r="B273" s="3" t="s">
        <v>30</v>
      </c>
      <c r="C273" s="10">
        <v>45743</v>
      </c>
      <c r="D273" s="3" t="s">
        <v>20</v>
      </c>
      <c r="E273" s="3" t="s">
        <v>82</v>
      </c>
      <c r="F273" s="19">
        <v>4941</v>
      </c>
      <c r="G273" s="19">
        <v>414</v>
      </c>
      <c r="H273" s="19">
        <v>266</v>
      </c>
      <c r="I273" s="19">
        <v>39528</v>
      </c>
      <c r="J273" s="19">
        <v>39154</v>
      </c>
      <c r="K273" s="19">
        <v>217</v>
      </c>
      <c r="L273" s="19">
        <f t="shared" si="8"/>
        <v>5621</v>
      </c>
      <c r="M273" s="4" t="s">
        <v>27</v>
      </c>
      <c r="N273" s="3" t="s">
        <v>27</v>
      </c>
      <c r="O273" s="3"/>
      <c r="P273" s="10"/>
      <c r="Q273" s="3" t="s">
        <v>28</v>
      </c>
      <c r="R273" s="67">
        <f t="shared" si="9"/>
        <v>0.14220299534507186</v>
      </c>
    </row>
    <row r="274" spans="1:18" ht="14.25" customHeight="1" x14ac:dyDescent="0.3">
      <c r="A274" s="3" t="s">
        <v>341</v>
      </c>
      <c r="B274" s="3" t="s">
        <v>25</v>
      </c>
      <c r="C274" s="10">
        <v>45577</v>
      </c>
      <c r="D274" s="3" t="s">
        <v>31</v>
      </c>
      <c r="E274" s="3" t="s">
        <v>105</v>
      </c>
      <c r="F274" s="19">
        <v>3641</v>
      </c>
      <c r="G274" s="19">
        <v>226</v>
      </c>
      <c r="H274" s="19">
        <v>46</v>
      </c>
      <c r="I274" s="19">
        <v>40051</v>
      </c>
      <c r="J274" s="19">
        <v>39319</v>
      </c>
      <c r="K274" s="19">
        <v>296</v>
      </c>
      <c r="L274" s="19">
        <f t="shared" si="8"/>
        <v>3913</v>
      </c>
      <c r="M274" s="4" t="s">
        <v>33</v>
      </c>
      <c r="N274" s="3" t="s">
        <v>33</v>
      </c>
      <c r="O274" s="3"/>
      <c r="P274" s="10"/>
      <c r="Q274" s="3" t="s">
        <v>34</v>
      </c>
      <c r="R274" s="67">
        <f t="shared" si="9"/>
        <v>9.7700431949264685E-2</v>
      </c>
    </row>
    <row r="275" spans="1:18" ht="14.25" customHeight="1" x14ac:dyDescent="0.3">
      <c r="A275" s="3" t="s">
        <v>342</v>
      </c>
      <c r="B275" s="3" t="s">
        <v>14</v>
      </c>
      <c r="C275" s="10">
        <v>45658</v>
      </c>
      <c r="D275" s="3" t="s">
        <v>39</v>
      </c>
      <c r="E275" s="3" t="s">
        <v>42</v>
      </c>
      <c r="F275" s="19">
        <v>3535</v>
      </c>
      <c r="G275" s="19">
        <v>494</v>
      </c>
      <c r="H275" s="19">
        <v>152</v>
      </c>
      <c r="I275" s="19">
        <v>53025</v>
      </c>
      <c r="J275" s="19">
        <v>52791</v>
      </c>
      <c r="K275" s="19">
        <v>44</v>
      </c>
      <c r="L275" s="19">
        <f t="shared" si="8"/>
        <v>4181</v>
      </c>
      <c r="M275" s="4" t="s">
        <v>27</v>
      </c>
      <c r="N275" s="3" t="s">
        <v>27</v>
      </c>
      <c r="O275" s="3"/>
      <c r="P275" s="10"/>
      <c r="Q275" s="3" t="s">
        <v>34</v>
      </c>
      <c r="R275" s="67">
        <f t="shared" si="9"/>
        <v>7.8849599245638849E-2</v>
      </c>
    </row>
    <row r="276" spans="1:18" ht="14.25" customHeight="1" x14ac:dyDescent="0.3">
      <c r="A276" s="3" t="s">
        <v>343</v>
      </c>
      <c r="B276" s="3" t="s">
        <v>38</v>
      </c>
      <c r="C276" s="10">
        <v>45509</v>
      </c>
      <c r="D276" s="3" t="s">
        <v>15</v>
      </c>
      <c r="E276" s="3" t="s">
        <v>53</v>
      </c>
      <c r="F276" s="19">
        <v>1741</v>
      </c>
      <c r="G276" s="19">
        <v>831</v>
      </c>
      <c r="H276" s="19">
        <v>345</v>
      </c>
      <c r="I276" s="19">
        <v>17410</v>
      </c>
      <c r="J276" s="19">
        <v>16844</v>
      </c>
      <c r="K276" s="19">
        <v>58</v>
      </c>
      <c r="L276" s="19">
        <f t="shared" si="8"/>
        <v>2917</v>
      </c>
      <c r="M276" s="4" t="s">
        <v>33</v>
      </c>
      <c r="N276" s="3" t="s">
        <v>33</v>
      </c>
      <c r="O276" s="3"/>
      <c r="P276" s="10"/>
      <c r="Q276" s="3" t="s">
        <v>28</v>
      </c>
      <c r="R276" s="67">
        <f t="shared" si="9"/>
        <v>0.16754738655944859</v>
      </c>
    </row>
    <row r="277" spans="1:18" ht="14.25" customHeight="1" x14ac:dyDescent="0.3">
      <c r="A277" s="3" t="s">
        <v>344</v>
      </c>
      <c r="B277" s="3" t="s">
        <v>14</v>
      </c>
      <c r="C277" s="10">
        <v>45450</v>
      </c>
      <c r="D277" s="3" t="s">
        <v>39</v>
      </c>
      <c r="E277" s="3" t="s">
        <v>42</v>
      </c>
      <c r="F277" s="19">
        <v>1556</v>
      </c>
      <c r="G277" s="19">
        <v>195</v>
      </c>
      <c r="H277" s="19">
        <v>131</v>
      </c>
      <c r="I277" s="19">
        <v>9336</v>
      </c>
      <c r="J277" s="19">
        <v>8875</v>
      </c>
      <c r="K277" s="19">
        <v>137</v>
      </c>
      <c r="L277" s="19">
        <f t="shared" si="8"/>
        <v>1882</v>
      </c>
      <c r="M277" s="4" t="s">
        <v>27</v>
      </c>
      <c r="N277" s="3" t="s">
        <v>27</v>
      </c>
      <c r="O277" s="3"/>
      <c r="P277" s="10"/>
      <c r="Q277" s="3" t="s">
        <v>23</v>
      </c>
      <c r="R277" s="67">
        <f t="shared" si="9"/>
        <v>0.2015852613538989</v>
      </c>
    </row>
    <row r="278" spans="1:18" ht="14.25" customHeight="1" x14ac:dyDescent="0.3">
      <c r="A278" s="3" t="s">
        <v>345</v>
      </c>
      <c r="B278" s="3" t="s">
        <v>38</v>
      </c>
      <c r="C278" s="10">
        <v>45753</v>
      </c>
      <c r="D278" s="3" t="s">
        <v>44</v>
      </c>
      <c r="E278" s="3" t="s">
        <v>49</v>
      </c>
      <c r="F278" s="19">
        <v>4236</v>
      </c>
      <c r="G278" s="19">
        <v>711</v>
      </c>
      <c r="H278" s="19">
        <v>298</v>
      </c>
      <c r="I278" s="19">
        <v>21180</v>
      </c>
      <c r="J278" s="19">
        <v>20516</v>
      </c>
      <c r="K278" s="19">
        <v>238</v>
      </c>
      <c r="L278" s="19">
        <f t="shared" si="8"/>
        <v>5245</v>
      </c>
      <c r="M278" s="4" t="s">
        <v>51</v>
      </c>
      <c r="N278" s="3" t="s">
        <v>51</v>
      </c>
      <c r="O278" s="3"/>
      <c r="P278" s="10"/>
      <c r="Q278" s="3" t="s">
        <v>18</v>
      </c>
      <c r="R278" s="67">
        <f t="shared" si="9"/>
        <v>0.24763928234183191</v>
      </c>
    </row>
    <row r="279" spans="1:18" ht="14.25" customHeight="1" x14ac:dyDescent="0.3">
      <c r="A279" s="3" t="s">
        <v>346</v>
      </c>
      <c r="B279" s="3" t="s">
        <v>14</v>
      </c>
      <c r="C279" s="10">
        <v>45622</v>
      </c>
      <c r="D279" s="3" t="s">
        <v>20</v>
      </c>
      <c r="E279" s="3" t="s">
        <v>21</v>
      </c>
      <c r="F279" s="19">
        <v>4516</v>
      </c>
      <c r="G279" s="19">
        <v>836</v>
      </c>
      <c r="H279" s="19">
        <v>169</v>
      </c>
      <c r="I279" s="19">
        <v>49676</v>
      </c>
      <c r="J279" s="19">
        <v>49257</v>
      </c>
      <c r="K279" s="19">
        <v>282</v>
      </c>
      <c r="L279" s="19">
        <f t="shared" si="8"/>
        <v>5521</v>
      </c>
      <c r="M279" s="4" t="s">
        <v>33</v>
      </c>
      <c r="N279" s="3" t="s">
        <v>33</v>
      </c>
      <c r="O279" s="3"/>
      <c r="P279" s="10"/>
      <c r="Q279" s="3" t="s">
        <v>34</v>
      </c>
      <c r="R279" s="67">
        <f t="shared" si="9"/>
        <v>0.11114018842096787</v>
      </c>
    </row>
    <row r="280" spans="1:18" ht="14.25" customHeight="1" x14ac:dyDescent="0.3">
      <c r="A280" s="3" t="s">
        <v>347</v>
      </c>
      <c r="B280" s="3" t="s">
        <v>25</v>
      </c>
      <c r="C280" s="10">
        <v>45537</v>
      </c>
      <c r="D280" s="3" t="s">
        <v>44</v>
      </c>
      <c r="E280" s="3" t="s">
        <v>45</v>
      </c>
      <c r="F280" s="19">
        <v>4905</v>
      </c>
      <c r="G280" s="19">
        <v>845</v>
      </c>
      <c r="H280" s="19">
        <v>129</v>
      </c>
      <c r="I280" s="19">
        <v>98100</v>
      </c>
      <c r="J280" s="19">
        <v>97772</v>
      </c>
      <c r="K280" s="19">
        <v>279</v>
      </c>
      <c r="L280" s="19">
        <f t="shared" si="8"/>
        <v>5879</v>
      </c>
      <c r="M280" s="4" t="s">
        <v>27</v>
      </c>
      <c r="N280" s="3" t="s">
        <v>27</v>
      </c>
      <c r="O280" s="3"/>
      <c r="P280" s="10"/>
      <c r="Q280" s="3" t="s">
        <v>23</v>
      </c>
      <c r="R280" s="67">
        <f t="shared" si="9"/>
        <v>5.9928644240570844E-2</v>
      </c>
    </row>
    <row r="281" spans="1:18" ht="14.25" customHeight="1" x14ac:dyDescent="0.3">
      <c r="A281" s="3" t="s">
        <v>348</v>
      </c>
      <c r="B281" s="3" t="s">
        <v>25</v>
      </c>
      <c r="C281" s="10">
        <v>45586</v>
      </c>
      <c r="D281" s="3" t="s">
        <v>59</v>
      </c>
      <c r="E281" s="3" t="s">
        <v>143</v>
      </c>
      <c r="F281" s="19">
        <v>4275</v>
      </c>
      <c r="G281" s="19">
        <v>680</v>
      </c>
      <c r="H281" s="19">
        <v>385</v>
      </c>
      <c r="I281" s="19">
        <v>64125</v>
      </c>
      <c r="J281" s="19">
        <v>63650</v>
      </c>
      <c r="K281" s="19">
        <v>104</v>
      </c>
      <c r="L281" s="19">
        <f t="shared" si="8"/>
        <v>5340</v>
      </c>
      <c r="M281" s="4" t="s">
        <v>117</v>
      </c>
      <c r="N281" s="3" t="s">
        <v>33</v>
      </c>
      <c r="O281" s="3" t="s">
        <v>27</v>
      </c>
      <c r="P281" s="10" t="s">
        <v>392</v>
      </c>
      <c r="Q281" s="3" t="s">
        <v>34</v>
      </c>
      <c r="R281" s="67">
        <f t="shared" si="9"/>
        <v>8.3274853801169585E-2</v>
      </c>
    </row>
    <row r="282" spans="1:18" ht="14.25" customHeight="1" x14ac:dyDescent="0.3">
      <c r="A282" s="3" t="s">
        <v>349</v>
      </c>
      <c r="B282" s="3" t="s">
        <v>25</v>
      </c>
      <c r="C282" s="10">
        <v>45738</v>
      </c>
      <c r="D282" s="3" t="s">
        <v>44</v>
      </c>
      <c r="E282" s="3" t="s">
        <v>45</v>
      </c>
      <c r="F282" s="19">
        <v>3166</v>
      </c>
      <c r="G282" s="19">
        <v>90</v>
      </c>
      <c r="H282" s="19">
        <v>341</v>
      </c>
      <c r="I282" s="19">
        <v>56988</v>
      </c>
      <c r="J282" s="19">
        <v>56125</v>
      </c>
      <c r="K282" s="19">
        <v>135</v>
      </c>
      <c r="L282" s="19">
        <f t="shared" si="8"/>
        <v>3597</v>
      </c>
      <c r="M282" s="4" t="s">
        <v>33</v>
      </c>
      <c r="N282" s="3" t="s">
        <v>33</v>
      </c>
      <c r="O282" s="3"/>
      <c r="P282" s="10"/>
      <c r="Q282" s="3" t="s">
        <v>23</v>
      </c>
      <c r="R282" s="67">
        <f t="shared" si="9"/>
        <v>6.3118551273952411E-2</v>
      </c>
    </row>
    <row r="283" spans="1:18" ht="14.25" customHeight="1" x14ac:dyDescent="0.3">
      <c r="A283" s="3" t="s">
        <v>350</v>
      </c>
      <c r="B283" s="3" t="s">
        <v>30</v>
      </c>
      <c r="C283" s="10">
        <v>45568</v>
      </c>
      <c r="D283" s="3" t="s">
        <v>59</v>
      </c>
      <c r="E283" s="3" t="s">
        <v>66</v>
      </c>
      <c r="F283" s="19">
        <v>1488</v>
      </c>
      <c r="G283" s="19">
        <v>417</v>
      </c>
      <c r="H283" s="19">
        <v>168</v>
      </c>
      <c r="I283" s="19">
        <v>19344</v>
      </c>
      <c r="J283" s="19">
        <v>18395</v>
      </c>
      <c r="K283" s="19">
        <v>30</v>
      </c>
      <c r="L283" s="19">
        <f t="shared" si="8"/>
        <v>2073</v>
      </c>
      <c r="M283" s="4" t="s">
        <v>51</v>
      </c>
      <c r="N283" s="3" t="s">
        <v>51</v>
      </c>
      <c r="O283" s="3"/>
      <c r="P283" s="10"/>
      <c r="Q283" s="3" t="s">
        <v>28</v>
      </c>
      <c r="R283" s="67">
        <f t="shared" si="9"/>
        <v>0.1071650124069479</v>
      </c>
    </row>
    <row r="284" spans="1:18" ht="14.25" customHeight="1" x14ac:dyDescent="0.3">
      <c r="A284" s="3" t="s">
        <v>351</v>
      </c>
      <c r="B284" s="3" t="s">
        <v>14</v>
      </c>
      <c r="C284" s="10">
        <v>45786</v>
      </c>
      <c r="D284" s="3" t="s">
        <v>15</v>
      </c>
      <c r="E284" s="3" t="s">
        <v>16</v>
      </c>
      <c r="F284" s="19">
        <v>3367</v>
      </c>
      <c r="G284" s="19">
        <v>302</v>
      </c>
      <c r="H284" s="19">
        <v>57</v>
      </c>
      <c r="I284" s="19">
        <v>63973</v>
      </c>
      <c r="J284" s="19">
        <v>63789</v>
      </c>
      <c r="K284" s="19">
        <v>157</v>
      </c>
      <c r="L284" s="19">
        <f t="shared" si="8"/>
        <v>3726</v>
      </c>
      <c r="M284" s="4" t="s">
        <v>51</v>
      </c>
      <c r="N284" s="3" t="s">
        <v>51</v>
      </c>
      <c r="O284" s="3"/>
      <c r="P284" s="10"/>
      <c r="Q284" s="3" t="s">
        <v>23</v>
      </c>
      <c r="R284" s="67">
        <f t="shared" si="9"/>
        <v>5.8243321401216137E-2</v>
      </c>
    </row>
    <row r="285" spans="1:18" ht="14.25" customHeight="1" x14ac:dyDescent="0.3">
      <c r="A285" s="3" t="s">
        <v>352</v>
      </c>
      <c r="B285" s="3" t="s">
        <v>14</v>
      </c>
      <c r="C285" s="10">
        <v>45552</v>
      </c>
      <c r="D285" s="3" t="s">
        <v>20</v>
      </c>
      <c r="E285" s="3" t="s">
        <v>21</v>
      </c>
      <c r="F285" s="19">
        <v>571</v>
      </c>
      <c r="G285" s="19">
        <v>190</v>
      </c>
      <c r="H285" s="19">
        <v>352</v>
      </c>
      <c r="I285" s="19">
        <v>9707</v>
      </c>
      <c r="J285" s="19">
        <v>9418</v>
      </c>
      <c r="K285" s="19">
        <v>231</v>
      </c>
      <c r="L285" s="19">
        <f t="shared" si="8"/>
        <v>1113</v>
      </c>
      <c r="M285" s="4" t="s">
        <v>27</v>
      </c>
      <c r="N285" s="3" t="s">
        <v>27</v>
      </c>
      <c r="O285" s="3"/>
      <c r="P285" s="10"/>
      <c r="Q285" s="3" t="s">
        <v>34</v>
      </c>
      <c r="R285" s="67">
        <f t="shared" si="9"/>
        <v>0.11465952405480581</v>
      </c>
    </row>
    <row r="286" spans="1:18" ht="14.25" customHeight="1" x14ac:dyDescent="0.3">
      <c r="A286" s="3" t="s">
        <v>353</v>
      </c>
      <c r="B286" s="3" t="s">
        <v>25</v>
      </c>
      <c r="C286" s="10">
        <v>45491</v>
      </c>
      <c r="D286" s="3" t="s">
        <v>20</v>
      </c>
      <c r="E286" s="3" t="s">
        <v>77</v>
      </c>
      <c r="F286" s="19">
        <v>4021</v>
      </c>
      <c r="G286" s="19">
        <v>794</v>
      </c>
      <c r="H286" s="19">
        <v>77</v>
      </c>
      <c r="I286" s="19">
        <v>36189</v>
      </c>
      <c r="J286" s="19">
        <v>35505</v>
      </c>
      <c r="K286" s="19">
        <v>174</v>
      </c>
      <c r="L286" s="19">
        <f t="shared" si="8"/>
        <v>4892</v>
      </c>
      <c r="M286" s="4" t="s">
        <v>33</v>
      </c>
      <c r="N286" s="3" t="s">
        <v>33</v>
      </c>
      <c r="O286" s="3"/>
      <c r="P286" s="10"/>
      <c r="Q286" s="3" t="s">
        <v>397</v>
      </c>
      <c r="R286" s="67">
        <f t="shared" si="9"/>
        <v>0.13517919809886983</v>
      </c>
    </row>
    <row r="287" spans="1:18" ht="14.25" customHeight="1" x14ac:dyDescent="0.3">
      <c r="A287" s="3" t="s">
        <v>354</v>
      </c>
      <c r="B287" s="3" t="s">
        <v>25</v>
      </c>
      <c r="C287" s="10">
        <v>45560</v>
      </c>
      <c r="D287" s="3" t="s">
        <v>59</v>
      </c>
      <c r="E287" s="3" t="s">
        <v>143</v>
      </c>
      <c r="F287" s="19">
        <v>3389</v>
      </c>
      <c r="G287" s="19">
        <v>344</v>
      </c>
      <c r="H287" s="19">
        <v>229</v>
      </c>
      <c r="I287" s="19">
        <v>20334</v>
      </c>
      <c r="J287" s="19">
        <v>19443</v>
      </c>
      <c r="K287" s="19">
        <v>228</v>
      </c>
      <c r="L287" s="19">
        <f t="shared" si="8"/>
        <v>3962</v>
      </c>
      <c r="M287" s="4" t="s">
        <v>51</v>
      </c>
      <c r="N287" s="3" t="s">
        <v>51</v>
      </c>
      <c r="O287" s="3"/>
      <c r="P287" s="10"/>
      <c r="Q287" s="3" t="s">
        <v>28</v>
      </c>
      <c r="R287" s="67">
        <f t="shared" si="9"/>
        <v>0.19484607062063539</v>
      </c>
    </row>
    <row r="288" spans="1:18" ht="14.25" customHeight="1" x14ac:dyDescent="0.3">
      <c r="A288" s="3" t="s">
        <v>355</v>
      </c>
      <c r="B288" s="3" t="s">
        <v>30</v>
      </c>
      <c r="C288" s="10">
        <v>45519</v>
      </c>
      <c r="D288" s="3" t="s">
        <v>15</v>
      </c>
      <c r="E288" s="3" t="s">
        <v>64</v>
      </c>
      <c r="F288" s="19">
        <v>1164</v>
      </c>
      <c r="G288" s="19">
        <v>616</v>
      </c>
      <c r="H288" s="19">
        <v>324</v>
      </c>
      <c r="I288" s="19">
        <v>6984</v>
      </c>
      <c r="J288" s="19">
        <v>6636</v>
      </c>
      <c r="K288" s="19">
        <v>82</v>
      </c>
      <c r="L288" s="19">
        <f t="shared" si="8"/>
        <v>2104</v>
      </c>
      <c r="M288" s="4" t="s">
        <v>33</v>
      </c>
      <c r="N288" s="3" t="s">
        <v>33</v>
      </c>
      <c r="O288" s="3"/>
      <c r="P288" s="10"/>
      <c r="Q288" s="3" t="s">
        <v>18</v>
      </c>
      <c r="R288" s="67">
        <f t="shared" si="9"/>
        <v>0.30126002290950743</v>
      </c>
    </row>
    <row r="289" spans="1:18" ht="14.25" customHeight="1" x14ac:dyDescent="0.3">
      <c r="A289" s="3" t="s">
        <v>356</v>
      </c>
      <c r="B289" s="3" t="s">
        <v>25</v>
      </c>
      <c r="C289" s="10">
        <v>45764</v>
      </c>
      <c r="D289" s="3" t="s">
        <v>39</v>
      </c>
      <c r="E289" s="3" t="s">
        <v>55</v>
      </c>
      <c r="F289" s="19">
        <v>4780</v>
      </c>
      <c r="G289" s="19">
        <v>691</v>
      </c>
      <c r="H289" s="19">
        <v>380</v>
      </c>
      <c r="I289" s="19">
        <v>86040</v>
      </c>
      <c r="J289" s="19">
        <v>85743</v>
      </c>
      <c r="K289" s="19">
        <v>262</v>
      </c>
      <c r="L289" s="19">
        <f t="shared" si="8"/>
        <v>5851</v>
      </c>
      <c r="M289" s="4" t="s">
        <v>51</v>
      </c>
      <c r="N289" s="3" t="s">
        <v>51</v>
      </c>
      <c r="O289" s="3"/>
      <c r="P289" s="10"/>
      <c r="Q289" s="3" t="s">
        <v>28</v>
      </c>
      <c r="R289" s="67">
        <f t="shared" si="9"/>
        <v>6.800325430032543E-2</v>
      </c>
    </row>
    <row r="290" spans="1:18" ht="14.25" customHeight="1" x14ac:dyDescent="0.3">
      <c r="A290" s="3" t="s">
        <v>357</v>
      </c>
      <c r="B290" s="3" t="s">
        <v>38</v>
      </c>
      <c r="C290" s="10">
        <v>45624</v>
      </c>
      <c r="D290" s="3" t="s">
        <v>39</v>
      </c>
      <c r="E290" s="3" t="s">
        <v>40</v>
      </c>
      <c r="F290" s="19">
        <v>2751</v>
      </c>
      <c r="G290" s="19">
        <v>33</v>
      </c>
      <c r="H290" s="19">
        <v>430</v>
      </c>
      <c r="I290" s="19">
        <v>44016</v>
      </c>
      <c r="J290" s="19">
        <v>43415</v>
      </c>
      <c r="K290" s="19">
        <v>129</v>
      </c>
      <c r="L290" s="19">
        <f t="shared" si="8"/>
        <v>3214</v>
      </c>
      <c r="M290" s="4" t="s">
        <v>51</v>
      </c>
      <c r="N290" s="3" t="s">
        <v>51</v>
      </c>
      <c r="O290" s="3"/>
      <c r="P290" s="10"/>
      <c r="Q290" s="3" t="s">
        <v>397</v>
      </c>
      <c r="R290" s="67">
        <f t="shared" si="9"/>
        <v>7.3018902217375503E-2</v>
      </c>
    </row>
    <row r="291" spans="1:18" ht="14.25" customHeight="1" x14ac:dyDescent="0.3">
      <c r="A291" s="3" t="s">
        <v>358</v>
      </c>
      <c r="B291" s="3" t="s">
        <v>30</v>
      </c>
      <c r="C291" s="10">
        <v>45646</v>
      </c>
      <c r="D291" s="3" t="s">
        <v>39</v>
      </c>
      <c r="E291" s="3" t="s">
        <v>68</v>
      </c>
      <c r="F291" s="19">
        <v>2107</v>
      </c>
      <c r="G291" s="19">
        <v>550</v>
      </c>
      <c r="H291" s="19">
        <v>349</v>
      </c>
      <c r="I291" s="19">
        <v>35819</v>
      </c>
      <c r="J291" s="19">
        <v>35340</v>
      </c>
      <c r="K291" s="19">
        <v>191</v>
      </c>
      <c r="L291" s="19">
        <f t="shared" si="8"/>
        <v>3006</v>
      </c>
      <c r="M291" s="4" t="s">
        <v>33</v>
      </c>
      <c r="N291" s="3" t="s">
        <v>33</v>
      </c>
      <c r="O291" s="3"/>
      <c r="P291" s="10"/>
      <c r="Q291" s="3" t="s">
        <v>34</v>
      </c>
      <c r="R291" s="67">
        <f t="shared" si="9"/>
        <v>8.3921940869371006E-2</v>
      </c>
    </row>
    <row r="292" spans="1:18" ht="14.25" customHeight="1" x14ac:dyDescent="0.3">
      <c r="A292" s="3" t="s">
        <v>359</v>
      </c>
      <c r="B292" s="3" t="s">
        <v>38</v>
      </c>
      <c r="C292" s="10">
        <v>45602</v>
      </c>
      <c r="D292" s="3" t="s">
        <v>59</v>
      </c>
      <c r="E292" s="3" t="s">
        <v>60</v>
      </c>
      <c r="F292" s="19">
        <v>4663</v>
      </c>
      <c r="G292" s="19">
        <v>145</v>
      </c>
      <c r="H292" s="19">
        <v>225</v>
      </c>
      <c r="I292" s="19">
        <v>69945</v>
      </c>
      <c r="J292" s="19">
        <v>69596</v>
      </c>
      <c r="K292" s="19">
        <v>35</v>
      </c>
      <c r="L292" s="19">
        <f t="shared" si="8"/>
        <v>5033</v>
      </c>
      <c r="M292" s="4" t="s">
        <v>33</v>
      </c>
      <c r="N292" s="3" t="s">
        <v>33</v>
      </c>
      <c r="O292" s="3"/>
      <c r="P292" s="10"/>
      <c r="Q292" s="3" t="s">
        <v>34</v>
      </c>
      <c r="R292" s="67">
        <f t="shared" si="9"/>
        <v>7.1956537279290869E-2</v>
      </c>
    </row>
    <row r="293" spans="1:18" ht="14.25" customHeight="1" x14ac:dyDescent="0.3">
      <c r="A293" s="3" t="s">
        <v>360</v>
      </c>
      <c r="B293" s="3" t="s">
        <v>38</v>
      </c>
      <c r="C293" s="10">
        <v>45613</v>
      </c>
      <c r="D293" s="3" t="s">
        <v>20</v>
      </c>
      <c r="E293" s="3" t="s">
        <v>47</v>
      </c>
      <c r="F293" s="19">
        <v>880</v>
      </c>
      <c r="G293" s="19">
        <v>297</v>
      </c>
      <c r="H293" s="19">
        <v>345</v>
      </c>
      <c r="I293" s="19">
        <v>12320</v>
      </c>
      <c r="J293" s="19">
        <v>11978</v>
      </c>
      <c r="K293" s="19">
        <v>238</v>
      </c>
      <c r="L293" s="19">
        <f t="shared" si="8"/>
        <v>1522</v>
      </c>
      <c r="M293" s="4" t="s">
        <v>72</v>
      </c>
      <c r="N293" s="3" t="s">
        <v>27</v>
      </c>
      <c r="O293" s="3" t="s">
        <v>392</v>
      </c>
      <c r="P293" s="10"/>
      <c r="Q293" s="3" t="s">
        <v>397</v>
      </c>
      <c r="R293" s="67">
        <f t="shared" si="9"/>
        <v>0.12353896103896105</v>
      </c>
    </row>
    <row r="294" spans="1:18" ht="14.25" customHeight="1" x14ac:dyDescent="0.3">
      <c r="A294" s="3" t="s">
        <v>361</v>
      </c>
      <c r="B294" s="3" t="s">
        <v>38</v>
      </c>
      <c r="C294" s="10">
        <v>45791</v>
      </c>
      <c r="D294" s="3" t="s">
        <v>20</v>
      </c>
      <c r="E294" s="3" t="s">
        <v>47</v>
      </c>
      <c r="F294" s="19">
        <v>2634</v>
      </c>
      <c r="G294" s="19">
        <v>726</v>
      </c>
      <c r="H294" s="19">
        <v>241</v>
      </c>
      <c r="I294" s="19">
        <v>28974</v>
      </c>
      <c r="J294" s="19">
        <v>28102</v>
      </c>
      <c r="K294" s="19">
        <v>277</v>
      </c>
      <c r="L294" s="19">
        <f t="shared" si="8"/>
        <v>3601</v>
      </c>
      <c r="M294" s="4" t="s">
        <v>33</v>
      </c>
      <c r="N294" s="3" t="s">
        <v>33</v>
      </c>
      <c r="O294" s="3"/>
      <c r="P294" s="10"/>
      <c r="Q294" s="3" t="s">
        <v>18</v>
      </c>
      <c r="R294" s="67">
        <f t="shared" si="9"/>
        <v>0.12428384068475185</v>
      </c>
    </row>
    <row r="295" spans="1:18" ht="14.25" customHeight="1" x14ac:dyDescent="0.3">
      <c r="A295" s="3" t="s">
        <v>362</v>
      </c>
      <c r="B295" s="3" t="s">
        <v>38</v>
      </c>
      <c r="C295" s="10">
        <v>45462</v>
      </c>
      <c r="D295" s="3" t="s">
        <v>39</v>
      </c>
      <c r="E295" s="3" t="s">
        <v>40</v>
      </c>
      <c r="F295" s="19">
        <v>4731</v>
      </c>
      <c r="G295" s="19">
        <v>173</v>
      </c>
      <c r="H295" s="19">
        <v>276</v>
      </c>
      <c r="I295" s="19">
        <v>28386</v>
      </c>
      <c r="J295" s="19">
        <v>28185</v>
      </c>
      <c r="K295" s="19">
        <v>89</v>
      </c>
      <c r="L295" s="19">
        <f t="shared" si="8"/>
        <v>5180</v>
      </c>
      <c r="M295" s="4" t="s">
        <v>33</v>
      </c>
      <c r="N295" s="3" t="s">
        <v>33</v>
      </c>
      <c r="O295" s="3"/>
      <c r="P295" s="10"/>
      <c r="Q295" s="3" t="s">
        <v>28</v>
      </c>
      <c r="R295" s="67">
        <f t="shared" si="9"/>
        <v>0.18248432325794406</v>
      </c>
    </row>
    <row r="296" spans="1:18" ht="14.25" customHeight="1" x14ac:dyDescent="0.3">
      <c r="A296" s="3" t="s">
        <v>363</v>
      </c>
      <c r="B296" s="3" t="s">
        <v>14</v>
      </c>
      <c r="C296" s="10">
        <v>45783</v>
      </c>
      <c r="D296" s="3" t="s">
        <v>44</v>
      </c>
      <c r="E296" s="3" t="s">
        <v>92</v>
      </c>
      <c r="F296" s="19">
        <v>1952</v>
      </c>
      <c r="G296" s="19">
        <v>344</v>
      </c>
      <c r="H296" s="19">
        <v>287</v>
      </c>
      <c r="I296" s="19">
        <v>15616</v>
      </c>
      <c r="J296" s="19">
        <v>15403</v>
      </c>
      <c r="K296" s="19">
        <v>235</v>
      </c>
      <c r="L296" s="19">
        <f t="shared" si="8"/>
        <v>2583</v>
      </c>
      <c r="M296" s="4" t="s">
        <v>141</v>
      </c>
      <c r="N296" s="3" t="s">
        <v>51</v>
      </c>
      <c r="O296" s="3" t="s">
        <v>27</v>
      </c>
      <c r="P296" s="10" t="s">
        <v>392</v>
      </c>
      <c r="Q296" s="3" t="s">
        <v>23</v>
      </c>
      <c r="R296" s="67">
        <f t="shared" si="9"/>
        <v>0.16540727459016394</v>
      </c>
    </row>
    <row r="297" spans="1:18" ht="14.25" customHeight="1" x14ac:dyDescent="0.3">
      <c r="A297" s="3" t="s">
        <v>364</v>
      </c>
      <c r="B297" s="3" t="s">
        <v>14</v>
      </c>
      <c r="C297" s="10">
        <v>45699</v>
      </c>
      <c r="D297" s="3" t="s">
        <v>59</v>
      </c>
      <c r="E297" s="3" t="s">
        <v>99</v>
      </c>
      <c r="F297" s="19">
        <v>3440</v>
      </c>
      <c r="G297" s="19">
        <v>13</v>
      </c>
      <c r="H297" s="19">
        <v>20</v>
      </c>
      <c r="I297" s="19">
        <v>58480</v>
      </c>
      <c r="J297" s="19">
        <v>58146</v>
      </c>
      <c r="K297" s="19">
        <v>210</v>
      </c>
      <c r="L297" s="19">
        <f t="shared" si="8"/>
        <v>3473</v>
      </c>
      <c r="M297" s="4" t="s">
        <v>268</v>
      </c>
      <c r="N297" s="3" t="s">
        <v>27</v>
      </c>
      <c r="O297" s="3" t="s">
        <v>388</v>
      </c>
      <c r="P297" s="10"/>
      <c r="Q297" s="3" t="s">
        <v>34</v>
      </c>
      <c r="R297" s="67">
        <f t="shared" si="9"/>
        <v>5.9387824897400819E-2</v>
      </c>
    </row>
    <row r="298" spans="1:18" ht="14.25" customHeight="1" x14ac:dyDescent="0.3">
      <c r="A298" s="3" t="s">
        <v>365</v>
      </c>
      <c r="B298" s="3" t="s">
        <v>14</v>
      </c>
      <c r="C298" s="10">
        <v>45650</v>
      </c>
      <c r="D298" s="3" t="s">
        <v>20</v>
      </c>
      <c r="E298" s="3" t="s">
        <v>21</v>
      </c>
      <c r="F298" s="19">
        <v>2166</v>
      </c>
      <c r="G298" s="19">
        <v>354</v>
      </c>
      <c r="H298" s="19">
        <v>117</v>
      </c>
      <c r="I298" s="19">
        <v>10830</v>
      </c>
      <c r="J298" s="19">
        <v>10245</v>
      </c>
      <c r="K298" s="19">
        <v>24</v>
      </c>
      <c r="L298" s="19">
        <f t="shared" si="8"/>
        <v>2637</v>
      </c>
      <c r="M298" s="4" t="s">
        <v>33</v>
      </c>
      <c r="N298" s="3" t="s">
        <v>33</v>
      </c>
      <c r="O298" s="3"/>
      <c r="P298" s="10"/>
      <c r="Q298" s="3" t="s">
        <v>34</v>
      </c>
      <c r="R298" s="67">
        <f t="shared" si="9"/>
        <v>0.24349030470914126</v>
      </c>
    </row>
    <row r="299" spans="1:18" ht="14.25" customHeight="1" x14ac:dyDescent="0.3">
      <c r="A299" s="3" t="s">
        <v>366</v>
      </c>
      <c r="B299" s="3" t="s">
        <v>38</v>
      </c>
      <c r="C299" s="10">
        <v>45589</v>
      </c>
      <c r="D299" s="3" t="s">
        <v>44</v>
      </c>
      <c r="E299" s="3" t="s">
        <v>49</v>
      </c>
      <c r="F299" s="19">
        <v>4303</v>
      </c>
      <c r="G299" s="19">
        <v>451</v>
      </c>
      <c r="H299" s="19">
        <v>286</v>
      </c>
      <c r="I299" s="19">
        <v>86060</v>
      </c>
      <c r="J299" s="19">
        <v>85823</v>
      </c>
      <c r="K299" s="19">
        <v>14</v>
      </c>
      <c r="L299" s="19">
        <f t="shared" si="8"/>
        <v>5040</v>
      </c>
      <c r="M299" s="4" t="s">
        <v>27</v>
      </c>
      <c r="N299" s="3" t="s">
        <v>27</v>
      </c>
      <c r="O299" s="3"/>
      <c r="P299" s="10"/>
      <c r="Q299" s="3" t="s">
        <v>28</v>
      </c>
      <c r="R299" s="67">
        <f t="shared" si="9"/>
        <v>5.8563792702765516E-2</v>
      </c>
    </row>
    <row r="300" spans="1:18" ht="14.25" customHeight="1" x14ac:dyDescent="0.3">
      <c r="A300" s="3" t="s">
        <v>367</v>
      </c>
      <c r="B300" s="3" t="s">
        <v>38</v>
      </c>
      <c r="C300" s="10">
        <v>45530</v>
      </c>
      <c r="D300" s="3" t="s">
        <v>44</v>
      </c>
      <c r="E300" s="3" t="s">
        <v>49</v>
      </c>
      <c r="F300" s="19">
        <v>2581</v>
      </c>
      <c r="G300" s="19">
        <v>517</v>
      </c>
      <c r="H300" s="19">
        <v>117</v>
      </c>
      <c r="I300" s="19">
        <v>23229</v>
      </c>
      <c r="J300" s="19">
        <v>22331</v>
      </c>
      <c r="K300" s="19">
        <v>70</v>
      </c>
      <c r="L300" s="19">
        <f t="shared" si="8"/>
        <v>3215</v>
      </c>
      <c r="M300" s="4" t="s">
        <v>51</v>
      </c>
      <c r="N300" s="3" t="s">
        <v>51</v>
      </c>
      <c r="O300" s="3"/>
      <c r="P300" s="10"/>
      <c r="Q300" s="3" t="s">
        <v>28</v>
      </c>
      <c r="R300" s="67">
        <f t="shared" si="9"/>
        <v>0.13840458048129492</v>
      </c>
    </row>
    <row r="301" spans="1:18" ht="14.25" customHeight="1" x14ac:dyDescent="0.3">
      <c r="A301" s="3" t="s">
        <v>368</v>
      </c>
      <c r="B301" s="3" t="s">
        <v>14</v>
      </c>
      <c r="C301" s="10">
        <v>45535</v>
      </c>
      <c r="D301" s="3" t="s">
        <v>39</v>
      </c>
      <c r="E301" s="3" t="s">
        <v>42</v>
      </c>
      <c r="F301" s="19">
        <v>4494</v>
      </c>
      <c r="G301" s="19">
        <v>717</v>
      </c>
      <c r="H301" s="19">
        <v>45</v>
      </c>
      <c r="I301" s="19">
        <v>62916</v>
      </c>
      <c r="J301" s="19">
        <v>62688</v>
      </c>
      <c r="K301" s="19">
        <v>191</v>
      </c>
      <c r="L301" s="19">
        <f t="shared" si="8"/>
        <v>5256</v>
      </c>
      <c r="M301" s="4" t="s">
        <v>328</v>
      </c>
      <c r="N301" s="3" t="s">
        <v>27</v>
      </c>
      <c r="O301" s="3" t="s">
        <v>33</v>
      </c>
      <c r="P301" s="10" t="s">
        <v>393</v>
      </c>
      <c r="Q301" s="3" t="s">
        <v>18</v>
      </c>
      <c r="R301" s="67">
        <f t="shared" si="9"/>
        <v>8.3539958039290485E-2</v>
      </c>
    </row>
    <row r="302" spans="1:18" ht="14.25" customHeight="1" x14ac:dyDescent="0.3">
      <c r="N302" s="3"/>
      <c r="O302" s="3"/>
      <c r="P302" s="10"/>
      <c r="Q302" s="3"/>
    </row>
    <row r="303" spans="1:18" ht="14.25" customHeight="1" x14ac:dyDescent="0.3">
      <c r="N303" s="3"/>
      <c r="O303" s="3"/>
      <c r="P303" s="10"/>
      <c r="Q303" s="3"/>
    </row>
    <row r="304" spans="1:18" ht="14.25" customHeight="1" x14ac:dyDescent="0.3">
      <c r="N304" s="3"/>
      <c r="O304" s="3"/>
      <c r="P304" s="10"/>
      <c r="Q304" s="3"/>
    </row>
    <row r="305" spans="14:17" ht="14.25" customHeight="1" x14ac:dyDescent="0.3">
      <c r="N305" s="3"/>
      <c r="O305" s="3"/>
      <c r="P305" s="10"/>
      <c r="Q305" s="3"/>
    </row>
    <row r="306" spans="14:17" ht="14.25" customHeight="1" x14ac:dyDescent="0.3">
      <c r="N306" s="3"/>
      <c r="O306" s="3"/>
      <c r="P306" s="10"/>
      <c r="Q306" s="3"/>
    </row>
    <row r="307" spans="14:17" ht="14.25" customHeight="1" x14ac:dyDescent="0.3">
      <c r="N307" s="3"/>
      <c r="O307" s="3"/>
      <c r="P307" s="10"/>
      <c r="Q307" s="3"/>
    </row>
    <row r="308" spans="14:17" ht="14.25" customHeight="1" x14ac:dyDescent="0.3">
      <c r="N308" s="3"/>
      <c r="O308" s="3"/>
      <c r="P308" s="10"/>
      <c r="Q308" s="3"/>
    </row>
    <row r="309" spans="14:17" ht="14.25" customHeight="1" x14ac:dyDescent="0.3">
      <c r="N309" s="3"/>
      <c r="O309" s="3"/>
      <c r="P309" s="10"/>
      <c r="Q309" s="3"/>
    </row>
    <row r="310" spans="14:17" ht="14.25" customHeight="1" x14ac:dyDescent="0.3">
      <c r="N310" s="3"/>
      <c r="O310" s="3"/>
      <c r="P310" s="10"/>
      <c r="Q310" s="3"/>
    </row>
    <row r="311" spans="14:17" ht="14.25" customHeight="1" x14ac:dyDescent="0.3">
      <c r="N311" s="3"/>
      <c r="O311" s="3"/>
      <c r="P311" s="10"/>
      <c r="Q311" s="3"/>
    </row>
    <row r="312" spans="14:17" ht="14.25" customHeight="1" x14ac:dyDescent="0.3">
      <c r="N312" s="3"/>
      <c r="O312" s="3"/>
      <c r="P312" s="10"/>
      <c r="Q312" s="3"/>
    </row>
    <row r="313" spans="14:17" ht="14.25" customHeight="1" x14ac:dyDescent="0.3">
      <c r="N313" s="3"/>
      <c r="O313" s="3"/>
      <c r="P313" s="10"/>
      <c r="Q313" s="3"/>
    </row>
    <row r="314" spans="14:17" ht="14.25" customHeight="1" x14ac:dyDescent="0.3">
      <c r="N314" s="3"/>
      <c r="O314" s="3"/>
      <c r="P314" s="10"/>
      <c r="Q314" s="3"/>
    </row>
    <row r="315" spans="14:17" ht="14.25" customHeight="1" x14ac:dyDescent="0.3">
      <c r="N315" s="3"/>
      <c r="O315" s="3"/>
      <c r="P315" s="10"/>
      <c r="Q315" s="3"/>
    </row>
    <row r="316" spans="14:17" ht="14.25" customHeight="1" x14ac:dyDescent="0.3">
      <c r="N316" s="3"/>
      <c r="O316" s="3"/>
      <c r="P316" s="10"/>
      <c r="Q316" s="3"/>
    </row>
    <row r="317" spans="14:17" ht="14.25" customHeight="1" x14ac:dyDescent="0.3">
      <c r="N317" s="3"/>
      <c r="O317" s="3"/>
      <c r="P317" s="10"/>
      <c r="Q317" s="3"/>
    </row>
    <row r="318" spans="14:17" ht="14.25" customHeight="1" x14ac:dyDescent="0.3">
      <c r="N318" s="3"/>
      <c r="O318" s="3"/>
      <c r="P318" s="10"/>
      <c r="Q318" s="3"/>
    </row>
    <row r="319" spans="14:17" ht="14.25" customHeight="1" x14ac:dyDescent="0.3">
      <c r="N319" s="3"/>
      <c r="O319" s="3"/>
      <c r="P319" s="10"/>
      <c r="Q319" s="3"/>
    </row>
    <row r="320" spans="14:17" ht="14.25" customHeight="1" x14ac:dyDescent="0.3">
      <c r="N320" s="3"/>
      <c r="O320" s="3"/>
      <c r="P320" s="10"/>
      <c r="Q320" s="3"/>
    </row>
    <row r="321" spans="14:17" ht="14.25" customHeight="1" x14ac:dyDescent="0.3">
      <c r="N321" s="3"/>
      <c r="O321" s="3"/>
      <c r="P321" s="10"/>
      <c r="Q321" s="3"/>
    </row>
    <row r="322" spans="14:17" ht="14.25" customHeight="1" x14ac:dyDescent="0.3">
      <c r="N322" s="3"/>
      <c r="O322" s="3"/>
      <c r="P322" s="10"/>
      <c r="Q322" s="3"/>
    </row>
    <row r="323" spans="14:17" ht="14.25" customHeight="1" x14ac:dyDescent="0.3">
      <c r="N323" s="3"/>
      <c r="O323" s="3"/>
      <c r="P323" s="10"/>
      <c r="Q323" s="3"/>
    </row>
    <row r="324" spans="14:17" ht="14.25" customHeight="1" x14ac:dyDescent="0.3">
      <c r="N324" s="3"/>
      <c r="O324" s="3"/>
      <c r="P324" s="10"/>
      <c r="Q324" s="3"/>
    </row>
    <row r="325" spans="14:17" ht="14.25" customHeight="1" x14ac:dyDescent="0.3">
      <c r="N325" s="3"/>
      <c r="O325" s="3"/>
      <c r="P325" s="10"/>
      <c r="Q325" s="3"/>
    </row>
    <row r="326" spans="14:17" ht="14.25" customHeight="1" x14ac:dyDescent="0.3">
      <c r="N326" s="3"/>
      <c r="O326" s="3"/>
      <c r="P326" s="10"/>
      <c r="Q326" s="3"/>
    </row>
    <row r="327" spans="14:17" ht="14.25" customHeight="1" x14ac:dyDescent="0.3">
      <c r="N327" s="3"/>
      <c r="O327" s="3"/>
      <c r="P327" s="10"/>
      <c r="Q327" s="3"/>
    </row>
    <row r="328" spans="14:17" ht="14.25" customHeight="1" x14ac:dyDescent="0.3">
      <c r="N328" s="3"/>
      <c r="O328" s="3"/>
      <c r="P328" s="10"/>
      <c r="Q328" s="3"/>
    </row>
    <row r="329" spans="14:17" ht="14.25" customHeight="1" x14ac:dyDescent="0.3">
      <c r="N329" s="3"/>
      <c r="O329" s="3"/>
      <c r="P329" s="10"/>
      <c r="Q329" s="3"/>
    </row>
    <row r="330" spans="14:17" ht="14.25" customHeight="1" x14ac:dyDescent="0.3">
      <c r="N330" s="3"/>
      <c r="O330" s="3"/>
      <c r="P330" s="10"/>
      <c r="Q330" s="3"/>
    </row>
    <row r="331" spans="14:17" ht="14.25" customHeight="1" x14ac:dyDescent="0.3">
      <c r="N331" s="3"/>
      <c r="O331" s="3"/>
      <c r="P331" s="10"/>
      <c r="Q331" s="3"/>
    </row>
    <row r="332" spans="14:17" ht="14.25" customHeight="1" x14ac:dyDescent="0.3">
      <c r="N332" s="3"/>
      <c r="O332" s="3"/>
      <c r="P332" s="10"/>
      <c r="Q332" s="3"/>
    </row>
    <row r="333" spans="14:17" ht="14.25" customHeight="1" x14ac:dyDescent="0.3">
      <c r="N333" s="3"/>
      <c r="O333" s="3"/>
      <c r="P333" s="10"/>
      <c r="Q333" s="3"/>
    </row>
    <row r="334" spans="14:17" ht="14.25" customHeight="1" x14ac:dyDescent="0.3">
      <c r="N334" s="3"/>
      <c r="O334" s="3"/>
      <c r="P334" s="10"/>
      <c r="Q334" s="3"/>
    </row>
    <row r="335" spans="14:17" ht="14.25" customHeight="1" x14ac:dyDescent="0.3">
      <c r="N335" s="3"/>
      <c r="O335" s="3"/>
      <c r="P335" s="10"/>
      <c r="Q335" s="3"/>
    </row>
    <row r="336" spans="14:17" ht="14.25" customHeight="1" x14ac:dyDescent="0.3">
      <c r="N336" s="3"/>
      <c r="O336" s="3"/>
      <c r="P336" s="10"/>
      <c r="Q336" s="3"/>
    </row>
    <row r="337" spans="14:17" ht="14.25" customHeight="1" x14ac:dyDescent="0.3">
      <c r="N337" s="3"/>
      <c r="O337" s="3"/>
      <c r="P337" s="10"/>
      <c r="Q337" s="3"/>
    </row>
    <row r="338" spans="14:17" ht="14.25" customHeight="1" x14ac:dyDescent="0.3">
      <c r="N338" s="3"/>
      <c r="O338" s="3"/>
      <c r="P338" s="10"/>
      <c r="Q338" s="3"/>
    </row>
    <row r="339" spans="14:17" ht="14.25" customHeight="1" x14ac:dyDescent="0.3">
      <c r="N339" s="3"/>
      <c r="O339" s="3"/>
      <c r="P339" s="10"/>
      <c r="Q339" s="3"/>
    </row>
    <row r="340" spans="14:17" ht="14.25" customHeight="1" x14ac:dyDescent="0.3">
      <c r="N340" s="3"/>
      <c r="O340" s="3"/>
      <c r="P340" s="10"/>
      <c r="Q340" s="3"/>
    </row>
    <row r="341" spans="14:17" ht="14.25" customHeight="1" x14ac:dyDescent="0.3">
      <c r="N341" s="3"/>
      <c r="O341" s="3"/>
      <c r="P341" s="10"/>
      <c r="Q341" s="3"/>
    </row>
    <row r="342" spans="14:17" ht="14.25" customHeight="1" x14ac:dyDescent="0.3"/>
    <row r="343" spans="14:17" ht="14.25" customHeight="1" x14ac:dyDescent="0.3"/>
    <row r="344" spans="14:17" ht="14.25" customHeight="1" x14ac:dyDescent="0.3"/>
    <row r="345" spans="14:17" ht="14.25" customHeight="1" x14ac:dyDescent="0.3"/>
    <row r="346" spans="14:17" ht="14.25" customHeight="1" x14ac:dyDescent="0.3"/>
    <row r="347" spans="14:17" ht="14.25" customHeight="1" x14ac:dyDescent="0.3"/>
    <row r="348" spans="14:17" ht="14.25" customHeight="1" x14ac:dyDescent="0.3"/>
    <row r="349" spans="14:17" ht="14.25" customHeight="1" x14ac:dyDescent="0.3"/>
    <row r="350" spans="14:17" ht="14.25" customHeight="1" x14ac:dyDescent="0.3"/>
    <row r="351" spans="14:17" ht="14.25" customHeight="1" x14ac:dyDescent="0.3"/>
    <row r="352" spans="14:17"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R301" xr:uid="{00000000-0001-0000-0000-000000000000}"/>
  <conditionalFormatting sqref="A1:A1048576">
    <cfRule type="duplicateValues" dxfId="3" priority="2"/>
  </conditionalFormatting>
  <conditionalFormatting sqref="N302:N341">
    <cfRule type="duplicateValues" dxfId="2" priority="1"/>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A3D1B-B38B-47AF-A2AC-E55D4D244596}">
  <dimension ref="A1:R301"/>
  <sheetViews>
    <sheetView topLeftCell="G1" workbookViewId="0">
      <selection activeCell="Q15" sqref="Q15"/>
    </sheetView>
  </sheetViews>
  <sheetFormatPr defaultRowHeight="14.4" x14ac:dyDescent="0.3"/>
  <cols>
    <col min="1" max="1" width="8.77734375" customWidth="1"/>
    <col min="2" max="2" width="10.21875" customWidth="1"/>
    <col min="3" max="3" width="10.33203125" bestFit="1" customWidth="1"/>
    <col min="4" max="4" width="14.21875" customWidth="1"/>
    <col min="5" max="5" width="37" bestFit="1" customWidth="1"/>
    <col min="8" max="8" width="12" customWidth="1"/>
    <col min="9" max="9" width="12.88671875" customWidth="1"/>
    <col min="12" max="12" width="13.44140625" customWidth="1"/>
    <col min="13" max="13" width="52.6640625" bestFit="1" customWidth="1"/>
    <col min="14" max="16" width="11.109375" customWidth="1"/>
    <col min="17" max="17" width="17.33203125" customWidth="1"/>
    <col min="18" max="18" width="18.21875" customWidth="1"/>
  </cols>
  <sheetData>
    <row r="1" spans="1:18" x14ac:dyDescent="0.3">
      <c r="A1" s="70" t="s">
        <v>0</v>
      </c>
      <c r="B1" s="70" t="s">
        <v>1</v>
      </c>
      <c r="C1" s="71" t="s">
        <v>2</v>
      </c>
      <c r="D1" s="70" t="s">
        <v>3</v>
      </c>
      <c r="E1" s="70" t="s">
        <v>4</v>
      </c>
      <c r="F1" s="72" t="s">
        <v>5</v>
      </c>
      <c r="G1" s="72" t="s">
        <v>6</v>
      </c>
      <c r="H1" s="72" t="s">
        <v>7</v>
      </c>
      <c r="I1" s="72" t="s">
        <v>8</v>
      </c>
      <c r="J1" s="72" t="s">
        <v>9</v>
      </c>
      <c r="K1" s="72" t="s">
        <v>10</v>
      </c>
      <c r="L1" s="73" t="s">
        <v>383</v>
      </c>
      <c r="M1" s="70" t="s">
        <v>11</v>
      </c>
      <c r="N1" s="74" t="s">
        <v>394</v>
      </c>
      <c r="O1" s="74" t="s">
        <v>395</v>
      </c>
      <c r="P1" s="74" t="s">
        <v>396</v>
      </c>
      <c r="Q1" s="70" t="s">
        <v>12</v>
      </c>
      <c r="R1" s="70" t="s">
        <v>373</v>
      </c>
    </row>
    <row r="2" spans="1:18" x14ac:dyDescent="0.3">
      <c r="A2" s="3" t="s">
        <v>13</v>
      </c>
      <c r="B2" s="3" t="s">
        <v>14</v>
      </c>
      <c r="C2" s="10">
        <v>45649</v>
      </c>
      <c r="D2" s="3" t="s">
        <v>15</v>
      </c>
      <c r="E2" s="3" t="s">
        <v>16</v>
      </c>
      <c r="F2" s="19">
        <v>1461</v>
      </c>
      <c r="G2" s="19">
        <v>184</v>
      </c>
      <c r="H2" s="19">
        <v>344</v>
      </c>
      <c r="I2" s="19">
        <v>21915</v>
      </c>
      <c r="J2" s="19">
        <v>21675</v>
      </c>
      <c r="K2" s="19">
        <v>15</v>
      </c>
      <c r="L2" s="19">
        <f>SUM($F2:$H2)</f>
        <v>1989</v>
      </c>
      <c r="M2" s="4" t="s">
        <v>17</v>
      </c>
      <c r="N2" s="3" t="s">
        <v>51</v>
      </c>
      <c r="O2" s="3" t="s">
        <v>392</v>
      </c>
      <c r="P2" s="10"/>
      <c r="Q2" s="3" t="s">
        <v>18</v>
      </c>
      <c r="R2" s="75">
        <f>SUM(F2:H2)/I2</f>
        <v>9.0759753593429152E-2</v>
      </c>
    </row>
    <row r="3" spans="1:18" x14ac:dyDescent="0.3">
      <c r="A3" s="3" t="s">
        <v>19</v>
      </c>
      <c r="B3" s="3" t="s">
        <v>14</v>
      </c>
      <c r="C3" s="10">
        <v>45750</v>
      </c>
      <c r="D3" s="3" t="s">
        <v>20</v>
      </c>
      <c r="E3" s="3" t="s">
        <v>21</v>
      </c>
      <c r="F3" s="19">
        <v>4054</v>
      </c>
      <c r="G3" s="19">
        <v>389</v>
      </c>
      <c r="H3" s="19">
        <v>493</v>
      </c>
      <c r="I3" s="19">
        <v>64864</v>
      </c>
      <c r="J3" s="19">
        <v>64383</v>
      </c>
      <c r="K3" s="19">
        <v>117</v>
      </c>
      <c r="L3" s="19">
        <f t="shared" ref="L3:L66" si="0">SUM($F3:$H3)</f>
        <v>4936</v>
      </c>
      <c r="M3" s="4" t="s">
        <v>22</v>
      </c>
      <c r="N3" s="3" t="s">
        <v>27</v>
      </c>
      <c r="O3" s="3" t="s">
        <v>393</v>
      </c>
      <c r="P3" s="10"/>
      <c r="Q3" s="3" t="s">
        <v>23</v>
      </c>
      <c r="R3" s="75">
        <f t="shared" ref="R3:R66" si="1">SUM(F3:H3)/I3</f>
        <v>7.6097681302417369E-2</v>
      </c>
    </row>
    <row r="4" spans="1:18" x14ac:dyDescent="0.3">
      <c r="A4" s="3" t="s">
        <v>24</v>
      </c>
      <c r="B4" s="3" t="s">
        <v>25</v>
      </c>
      <c r="C4" s="10">
        <v>45789</v>
      </c>
      <c r="D4" s="3" t="s">
        <v>15</v>
      </c>
      <c r="E4" s="3" t="s">
        <v>26</v>
      </c>
      <c r="F4" s="19">
        <v>2795</v>
      </c>
      <c r="G4" s="19">
        <v>105</v>
      </c>
      <c r="H4" s="19">
        <v>49</v>
      </c>
      <c r="I4" s="19">
        <v>53105</v>
      </c>
      <c r="J4" s="19">
        <v>52307</v>
      </c>
      <c r="K4" s="19">
        <v>204</v>
      </c>
      <c r="L4" s="19">
        <f t="shared" si="0"/>
        <v>2949</v>
      </c>
      <c r="M4" s="4" t="s">
        <v>27</v>
      </c>
      <c r="N4" s="3" t="s">
        <v>27</v>
      </c>
      <c r="O4" s="3"/>
      <c r="P4" s="10"/>
      <c r="Q4" s="3" t="s">
        <v>28</v>
      </c>
      <c r="R4" s="75">
        <f t="shared" si="1"/>
        <v>5.5531494209584788E-2</v>
      </c>
    </row>
    <row r="5" spans="1:18" x14ac:dyDescent="0.3">
      <c r="A5" s="3" t="s">
        <v>29</v>
      </c>
      <c r="B5" s="3" t="s">
        <v>30</v>
      </c>
      <c r="C5" s="10">
        <v>45516</v>
      </c>
      <c r="D5" s="3" t="s">
        <v>31</v>
      </c>
      <c r="E5" s="3" t="s">
        <v>32</v>
      </c>
      <c r="F5" s="19">
        <v>2404</v>
      </c>
      <c r="G5" s="19">
        <v>363</v>
      </c>
      <c r="H5" s="19">
        <v>138</v>
      </c>
      <c r="I5" s="19">
        <v>19232</v>
      </c>
      <c r="J5" s="19">
        <v>18636</v>
      </c>
      <c r="K5" s="19">
        <v>128</v>
      </c>
      <c r="L5" s="19">
        <f t="shared" si="0"/>
        <v>2905</v>
      </c>
      <c r="M5" s="4" t="s">
        <v>33</v>
      </c>
      <c r="N5" s="3" t="s">
        <v>33</v>
      </c>
      <c r="O5" s="3"/>
      <c r="P5" s="10"/>
      <c r="Q5" s="3" t="s">
        <v>34</v>
      </c>
      <c r="R5" s="75">
        <f t="shared" si="1"/>
        <v>0.15105033277870217</v>
      </c>
    </row>
    <row r="6" spans="1:18" x14ac:dyDescent="0.3">
      <c r="A6" s="3" t="s">
        <v>35</v>
      </c>
      <c r="B6" s="3" t="s">
        <v>25</v>
      </c>
      <c r="C6" s="10">
        <v>45469</v>
      </c>
      <c r="D6" s="3" t="s">
        <v>15</v>
      </c>
      <c r="E6" s="3" t="s">
        <v>26</v>
      </c>
      <c r="F6" s="19">
        <v>3557</v>
      </c>
      <c r="G6" s="19">
        <v>687</v>
      </c>
      <c r="H6" s="19">
        <v>424</v>
      </c>
      <c r="I6" s="19">
        <v>71140</v>
      </c>
      <c r="J6" s="19">
        <v>70701</v>
      </c>
      <c r="K6" s="19">
        <v>224</v>
      </c>
      <c r="L6" s="19">
        <f t="shared" si="0"/>
        <v>4668</v>
      </c>
      <c r="M6" s="4" t="s">
        <v>36</v>
      </c>
      <c r="N6" s="3" t="s">
        <v>33</v>
      </c>
      <c r="O6" s="3" t="s">
        <v>27</v>
      </c>
      <c r="P6" s="10"/>
      <c r="Q6" s="3" t="s">
        <v>18</v>
      </c>
      <c r="R6" s="75">
        <f t="shared" si="1"/>
        <v>6.5617093055946027E-2</v>
      </c>
    </row>
    <row r="7" spans="1:18" x14ac:dyDescent="0.3">
      <c r="A7" s="3" t="s">
        <v>37</v>
      </c>
      <c r="B7" s="3" t="s">
        <v>38</v>
      </c>
      <c r="C7" s="10">
        <v>45596</v>
      </c>
      <c r="D7" s="3" t="s">
        <v>39</v>
      </c>
      <c r="E7" s="3" t="s">
        <v>40</v>
      </c>
      <c r="F7" s="19">
        <v>2945</v>
      </c>
      <c r="G7" s="19">
        <v>930</v>
      </c>
      <c r="H7" s="19">
        <v>355</v>
      </c>
      <c r="I7" s="19">
        <v>23560</v>
      </c>
      <c r="J7" s="19">
        <v>23275</v>
      </c>
      <c r="K7" s="19">
        <v>256</v>
      </c>
      <c r="L7" s="19">
        <f t="shared" si="0"/>
        <v>4230</v>
      </c>
      <c r="M7" s="4" t="s">
        <v>27</v>
      </c>
      <c r="N7" s="3" t="s">
        <v>27</v>
      </c>
      <c r="O7" s="3"/>
      <c r="P7" s="10"/>
      <c r="Q7" s="3" t="s">
        <v>23</v>
      </c>
      <c r="R7" s="75">
        <f t="shared" si="1"/>
        <v>0.17954159592529711</v>
      </c>
    </row>
    <row r="8" spans="1:18" x14ac:dyDescent="0.3">
      <c r="A8" s="3" t="s">
        <v>41</v>
      </c>
      <c r="B8" s="3" t="s">
        <v>14</v>
      </c>
      <c r="C8" s="10">
        <v>45467</v>
      </c>
      <c r="D8" s="3" t="s">
        <v>39</v>
      </c>
      <c r="E8" s="3" t="s">
        <v>42</v>
      </c>
      <c r="F8" s="19">
        <v>3860</v>
      </c>
      <c r="G8" s="19">
        <v>201</v>
      </c>
      <c r="H8" s="19">
        <v>279</v>
      </c>
      <c r="I8" s="19">
        <v>61760</v>
      </c>
      <c r="J8" s="19">
        <v>61660</v>
      </c>
      <c r="K8" s="19">
        <v>235</v>
      </c>
      <c r="L8" s="19">
        <f t="shared" si="0"/>
        <v>4340</v>
      </c>
      <c r="M8" s="4" t="s">
        <v>27</v>
      </c>
      <c r="N8" s="3" t="s">
        <v>27</v>
      </c>
      <c r="O8" s="3"/>
      <c r="P8" s="10"/>
      <c r="Q8" s="3" t="s">
        <v>23</v>
      </c>
      <c r="R8" s="75">
        <f t="shared" si="1"/>
        <v>7.0272020725388601E-2</v>
      </c>
    </row>
    <row r="9" spans="1:18" x14ac:dyDescent="0.3">
      <c r="A9" s="3" t="s">
        <v>43</v>
      </c>
      <c r="B9" s="3" t="s">
        <v>25</v>
      </c>
      <c r="C9" s="10">
        <v>45486</v>
      </c>
      <c r="D9" s="3" t="s">
        <v>44</v>
      </c>
      <c r="E9" s="3" t="s">
        <v>45</v>
      </c>
      <c r="F9" s="19">
        <v>3929</v>
      </c>
      <c r="G9" s="19">
        <v>262</v>
      </c>
      <c r="H9" s="19">
        <v>278</v>
      </c>
      <c r="I9" s="19">
        <v>43219</v>
      </c>
      <c r="J9" s="19">
        <v>42841</v>
      </c>
      <c r="K9" s="19">
        <v>39</v>
      </c>
      <c r="L9" s="19">
        <f t="shared" si="0"/>
        <v>4469</v>
      </c>
      <c r="M9" s="4" t="s">
        <v>33</v>
      </c>
      <c r="N9" s="3" t="s">
        <v>33</v>
      </c>
      <c r="O9" s="3"/>
      <c r="P9" s="10"/>
      <c r="Q9" s="3" t="s">
        <v>34</v>
      </c>
      <c r="R9" s="75">
        <f t="shared" si="1"/>
        <v>0.10340359564080613</v>
      </c>
    </row>
    <row r="10" spans="1:18" x14ac:dyDescent="0.3">
      <c r="A10" s="3" t="s">
        <v>46</v>
      </c>
      <c r="B10" s="3" t="s">
        <v>38</v>
      </c>
      <c r="C10" s="10">
        <v>45534</v>
      </c>
      <c r="D10" s="3" t="s">
        <v>20</v>
      </c>
      <c r="E10" s="3" t="s">
        <v>47</v>
      </c>
      <c r="F10" s="19">
        <v>3784</v>
      </c>
      <c r="G10" s="19">
        <v>808</v>
      </c>
      <c r="H10" s="19">
        <v>404</v>
      </c>
      <c r="I10" s="19">
        <v>56760</v>
      </c>
      <c r="J10" s="19">
        <v>56343</v>
      </c>
      <c r="K10" s="19">
        <v>131</v>
      </c>
      <c r="L10" s="19">
        <f t="shared" si="0"/>
        <v>4996</v>
      </c>
      <c r="M10" s="4" t="s">
        <v>27</v>
      </c>
      <c r="N10" s="3" t="s">
        <v>27</v>
      </c>
      <c r="O10" s="3"/>
      <c r="P10" s="10"/>
      <c r="Q10" s="3" t="s">
        <v>23</v>
      </c>
      <c r="R10" s="75">
        <f t="shared" si="1"/>
        <v>8.8019732205778717E-2</v>
      </c>
    </row>
    <row r="11" spans="1:18" x14ac:dyDescent="0.3">
      <c r="A11" s="3" t="s">
        <v>48</v>
      </c>
      <c r="B11" s="3" t="s">
        <v>38</v>
      </c>
      <c r="C11" s="10">
        <v>45727</v>
      </c>
      <c r="D11" s="3" t="s">
        <v>44</v>
      </c>
      <c r="E11" s="3" t="s">
        <v>49</v>
      </c>
      <c r="F11" s="19">
        <v>4241</v>
      </c>
      <c r="G11" s="19">
        <v>902</v>
      </c>
      <c r="H11" s="19">
        <v>47</v>
      </c>
      <c r="I11" s="19">
        <v>72097</v>
      </c>
      <c r="J11" s="19">
        <v>71598</v>
      </c>
      <c r="K11" s="19">
        <v>167</v>
      </c>
      <c r="L11" s="19">
        <f t="shared" si="0"/>
        <v>5190</v>
      </c>
      <c r="M11" s="4" t="s">
        <v>27</v>
      </c>
      <c r="N11" s="3" t="s">
        <v>27</v>
      </c>
      <c r="O11" s="3"/>
      <c r="P11" s="10"/>
      <c r="Q11" s="3" t="s">
        <v>23</v>
      </c>
      <c r="R11" s="75">
        <f t="shared" si="1"/>
        <v>7.198635172059864E-2</v>
      </c>
    </row>
    <row r="12" spans="1:18" x14ac:dyDescent="0.3">
      <c r="A12" s="3" t="s">
        <v>50</v>
      </c>
      <c r="B12" s="3" t="s">
        <v>30</v>
      </c>
      <c r="C12" s="10">
        <v>45690</v>
      </c>
      <c r="D12" s="3" t="s">
        <v>31</v>
      </c>
      <c r="E12" s="3" t="s">
        <v>32</v>
      </c>
      <c r="F12" s="19">
        <v>1792</v>
      </c>
      <c r="G12" s="19">
        <v>614</v>
      </c>
      <c r="H12" s="19">
        <v>497</v>
      </c>
      <c r="I12" s="19">
        <v>25088</v>
      </c>
      <c r="J12" s="19">
        <v>24675</v>
      </c>
      <c r="K12" s="19">
        <v>65</v>
      </c>
      <c r="L12" s="19">
        <f t="shared" si="0"/>
        <v>2903</v>
      </c>
      <c r="M12" s="4" t="s">
        <v>51</v>
      </c>
      <c r="N12" s="3" t="s">
        <v>51</v>
      </c>
      <c r="O12" s="3"/>
      <c r="P12" s="10"/>
      <c r="Q12" s="3" t="s">
        <v>34</v>
      </c>
      <c r="R12" s="75">
        <f t="shared" si="1"/>
        <v>0.11571269132653061</v>
      </c>
    </row>
    <row r="13" spans="1:18" x14ac:dyDescent="0.3">
      <c r="A13" s="3" t="s">
        <v>52</v>
      </c>
      <c r="B13" s="3" t="s">
        <v>38</v>
      </c>
      <c r="C13" s="10">
        <v>45494</v>
      </c>
      <c r="D13" s="3" t="s">
        <v>15</v>
      </c>
      <c r="E13" s="3" t="s">
        <v>53</v>
      </c>
      <c r="F13" s="19">
        <v>1946</v>
      </c>
      <c r="G13" s="19">
        <v>686</v>
      </c>
      <c r="H13" s="19">
        <v>377</v>
      </c>
      <c r="I13" s="19">
        <v>23352</v>
      </c>
      <c r="J13" s="19">
        <v>22982</v>
      </c>
      <c r="K13" s="19">
        <v>213</v>
      </c>
      <c r="L13" s="19">
        <f t="shared" si="0"/>
        <v>3009</v>
      </c>
      <c r="M13" s="4" t="s">
        <v>51</v>
      </c>
      <c r="N13" s="3" t="s">
        <v>51</v>
      </c>
      <c r="O13" s="3"/>
      <c r="P13" s="10"/>
      <c r="Q13" s="3" t="s">
        <v>28</v>
      </c>
      <c r="R13" s="75">
        <f t="shared" si="1"/>
        <v>0.12885405960945528</v>
      </c>
    </row>
    <row r="14" spans="1:18" x14ac:dyDescent="0.3">
      <c r="A14" s="3" t="s">
        <v>54</v>
      </c>
      <c r="B14" s="3" t="s">
        <v>25</v>
      </c>
      <c r="C14" s="10">
        <v>45614</v>
      </c>
      <c r="D14" s="3" t="s">
        <v>39</v>
      </c>
      <c r="E14" s="3" t="s">
        <v>55</v>
      </c>
      <c r="F14" s="19">
        <v>1171</v>
      </c>
      <c r="G14" s="19">
        <v>286</v>
      </c>
      <c r="H14" s="19">
        <v>231</v>
      </c>
      <c r="I14" s="19">
        <v>22249</v>
      </c>
      <c r="J14" s="19">
        <v>21282</v>
      </c>
      <c r="K14" s="19">
        <v>114</v>
      </c>
      <c r="L14" s="19">
        <f t="shared" si="0"/>
        <v>1688</v>
      </c>
      <c r="M14" s="4" t="s">
        <v>33</v>
      </c>
      <c r="N14" s="3" t="s">
        <v>33</v>
      </c>
      <c r="O14" s="3"/>
      <c r="P14" s="10"/>
      <c r="Q14" s="3" t="s">
        <v>18</v>
      </c>
      <c r="R14" s="75">
        <f t="shared" si="1"/>
        <v>7.5868578363072495E-2</v>
      </c>
    </row>
    <row r="15" spans="1:18" x14ac:dyDescent="0.3">
      <c r="A15" s="3" t="s">
        <v>56</v>
      </c>
      <c r="B15" s="3" t="s">
        <v>38</v>
      </c>
      <c r="C15" s="10">
        <v>45704</v>
      </c>
      <c r="D15" s="3" t="s">
        <v>31</v>
      </c>
      <c r="E15" s="3" t="s">
        <v>57</v>
      </c>
      <c r="F15" s="19">
        <v>4242</v>
      </c>
      <c r="G15" s="19">
        <v>555</v>
      </c>
      <c r="H15" s="19">
        <v>131</v>
      </c>
      <c r="I15" s="19">
        <v>33936</v>
      </c>
      <c r="J15" s="19">
        <v>33802</v>
      </c>
      <c r="K15" s="19">
        <v>265</v>
      </c>
      <c r="L15" s="19">
        <f t="shared" si="0"/>
        <v>4928</v>
      </c>
      <c r="M15" s="4" t="s">
        <v>51</v>
      </c>
      <c r="N15" s="3" t="s">
        <v>51</v>
      </c>
      <c r="O15" s="3"/>
      <c r="P15" s="10"/>
      <c r="Q15" s="3" t="s">
        <v>397</v>
      </c>
      <c r="R15" s="75">
        <f t="shared" si="1"/>
        <v>0.14521452145214522</v>
      </c>
    </row>
    <row r="16" spans="1:18" x14ac:dyDescent="0.3">
      <c r="A16" s="3" t="s">
        <v>58</v>
      </c>
      <c r="B16" s="3" t="s">
        <v>38</v>
      </c>
      <c r="C16" s="10">
        <v>45589</v>
      </c>
      <c r="D16" s="3" t="s">
        <v>59</v>
      </c>
      <c r="E16" s="3" t="s">
        <v>60</v>
      </c>
      <c r="F16" s="19">
        <v>3888</v>
      </c>
      <c r="G16" s="19">
        <v>604</v>
      </c>
      <c r="H16" s="19">
        <v>128</v>
      </c>
      <c r="I16" s="19">
        <v>77760</v>
      </c>
      <c r="J16" s="19">
        <v>77167</v>
      </c>
      <c r="K16" s="19">
        <v>20</v>
      </c>
      <c r="L16" s="19">
        <f t="shared" si="0"/>
        <v>4620</v>
      </c>
      <c r="M16" s="4" t="s">
        <v>51</v>
      </c>
      <c r="N16" s="3" t="s">
        <v>51</v>
      </c>
      <c r="O16" s="3"/>
      <c r="P16" s="10"/>
      <c r="Q16" s="3" t="s">
        <v>18</v>
      </c>
      <c r="R16" s="75">
        <f t="shared" si="1"/>
        <v>5.941358024691358E-2</v>
      </c>
    </row>
    <row r="17" spans="1:18" x14ac:dyDescent="0.3">
      <c r="A17" s="3" t="s">
        <v>61</v>
      </c>
      <c r="B17" s="3" t="s">
        <v>38</v>
      </c>
      <c r="C17" s="10">
        <v>45530</v>
      </c>
      <c r="D17" s="3" t="s">
        <v>20</v>
      </c>
      <c r="E17" s="3" t="s">
        <v>47</v>
      </c>
      <c r="F17" s="19">
        <v>3452</v>
      </c>
      <c r="G17" s="19">
        <v>377</v>
      </c>
      <c r="H17" s="19">
        <v>360</v>
      </c>
      <c r="I17" s="19">
        <v>55232</v>
      </c>
      <c r="J17" s="19">
        <v>55075</v>
      </c>
      <c r="K17" s="19">
        <v>87</v>
      </c>
      <c r="L17" s="19">
        <f t="shared" si="0"/>
        <v>4189</v>
      </c>
      <c r="M17" s="4" t="s">
        <v>51</v>
      </c>
      <c r="N17" s="3" t="s">
        <v>51</v>
      </c>
      <c r="O17" s="3"/>
      <c r="P17" s="10"/>
      <c r="Q17" s="3" t="s">
        <v>28</v>
      </c>
      <c r="R17" s="75">
        <f t="shared" si="1"/>
        <v>7.5843713789107758E-2</v>
      </c>
    </row>
    <row r="18" spans="1:18" x14ac:dyDescent="0.3">
      <c r="A18" s="3" t="s">
        <v>62</v>
      </c>
      <c r="B18" s="3" t="s">
        <v>38</v>
      </c>
      <c r="C18" s="10">
        <v>45782</v>
      </c>
      <c r="D18" s="3" t="s">
        <v>20</v>
      </c>
      <c r="E18" s="3" t="s">
        <v>47</v>
      </c>
      <c r="F18" s="19">
        <v>4441</v>
      </c>
      <c r="G18" s="19">
        <v>511</v>
      </c>
      <c r="H18" s="19">
        <v>70</v>
      </c>
      <c r="I18" s="19">
        <v>53292</v>
      </c>
      <c r="J18" s="19">
        <v>53082</v>
      </c>
      <c r="K18" s="19">
        <v>159</v>
      </c>
      <c r="L18" s="19">
        <f t="shared" si="0"/>
        <v>5022</v>
      </c>
      <c r="M18" s="4" t="s">
        <v>33</v>
      </c>
      <c r="N18" s="3" t="s">
        <v>33</v>
      </c>
      <c r="O18" s="3"/>
      <c r="P18" s="10"/>
      <c r="Q18" s="3" t="s">
        <v>34</v>
      </c>
      <c r="R18" s="75">
        <f t="shared" si="1"/>
        <v>9.4235532537716729E-2</v>
      </c>
    </row>
    <row r="19" spans="1:18" x14ac:dyDescent="0.3">
      <c r="A19" s="3" t="s">
        <v>63</v>
      </c>
      <c r="B19" s="3" t="s">
        <v>30</v>
      </c>
      <c r="C19" s="10">
        <v>45523</v>
      </c>
      <c r="D19" s="3" t="s">
        <v>15</v>
      </c>
      <c r="E19" s="3" t="s">
        <v>64</v>
      </c>
      <c r="F19" s="19">
        <v>3000</v>
      </c>
      <c r="G19" s="19">
        <v>382</v>
      </c>
      <c r="H19" s="19">
        <v>325</v>
      </c>
      <c r="I19" s="19">
        <v>36000</v>
      </c>
      <c r="J19" s="19">
        <v>35819</v>
      </c>
      <c r="K19" s="19">
        <v>19</v>
      </c>
      <c r="L19" s="19">
        <f t="shared" si="0"/>
        <v>3707</v>
      </c>
      <c r="M19" s="4" t="s">
        <v>51</v>
      </c>
      <c r="N19" s="3" t="s">
        <v>51</v>
      </c>
      <c r="O19" s="3"/>
      <c r="P19" s="10"/>
      <c r="Q19" s="3" t="s">
        <v>18</v>
      </c>
      <c r="R19" s="75">
        <f t="shared" si="1"/>
        <v>0.10297222222222223</v>
      </c>
    </row>
    <row r="20" spans="1:18" x14ac:dyDescent="0.3">
      <c r="A20" s="3" t="s">
        <v>65</v>
      </c>
      <c r="B20" s="3" t="s">
        <v>30</v>
      </c>
      <c r="C20" s="10">
        <v>45466</v>
      </c>
      <c r="D20" s="3" t="s">
        <v>59</v>
      </c>
      <c r="E20" s="3" t="s">
        <v>66</v>
      </c>
      <c r="F20" s="19">
        <v>1071</v>
      </c>
      <c r="G20" s="19">
        <v>519</v>
      </c>
      <c r="H20" s="19">
        <v>22</v>
      </c>
      <c r="I20" s="19">
        <v>16065</v>
      </c>
      <c r="J20" s="19">
        <v>15865</v>
      </c>
      <c r="K20" s="19">
        <v>103</v>
      </c>
      <c r="L20" s="19">
        <f t="shared" si="0"/>
        <v>1612</v>
      </c>
      <c r="M20" s="4" t="s">
        <v>27</v>
      </c>
      <c r="N20" s="3" t="s">
        <v>27</v>
      </c>
      <c r="O20" s="3"/>
      <c r="P20" s="10"/>
      <c r="Q20" s="3" t="s">
        <v>34</v>
      </c>
      <c r="R20" s="75">
        <f t="shared" si="1"/>
        <v>0.10034235916588857</v>
      </c>
    </row>
    <row r="21" spans="1:18" x14ac:dyDescent="0.3">
      <c r="A21" s="3" t="s">
        <v>67</v>
      </c>
      <c r="B21" s="3" t="s">
        <v>30</v>
      </c>
      <c r="C21" s="10">
        <v>45544</v>
      </c>
      <c r="D21" s="3" t="s">
        <v>39</v>
      </c>
      <c r="E21" s="3" t="s">
        <v>68</v>
      </c>
      <c r="F21" s="19">
        <v>4054</v>
      </c>
      <c r="G21" s="19">
        <v>488</v>
      </c>
      <c r="H21" s="19">
        <v>373</v>
      </c>
      <c r="I21" s="19">
        <v>77026</v>
      </c>
      <c r="J21" s="19">
        <v>76881</v>
      </c>
      <c r="K21" s="19">
        <v>25</v>
      </c>
      <c r="L21" s="19">
        <f t="shared" si="0"/>
        <v>4915</v>
      </c>
      <c r="M21" s="4" t="s">
        <v>27</v>
      </c>
      <c r="N21" s="3" t="s">
        <v>27</v>
      </c>
      <c r="O21" s="3"/>
      <c r="P21" s="10"/>
      <c r="Q21" s="3" t="s">
        <v>18</v>
      </c>
      <c r="R21" s="75">
        <f t="shared" si="1"/>
        <v>6.3809622724794221E-2</v>
      </c>
    </row>
    <row r="22" spans="1:18" x14ac:dyDescent="0.3">
      <c r="A22" s="3" t="s">
        <v>69</v>
      </c>
      <c r="B22" s="3" t="s">
        <v>30</v>
      </c>
      <c r="C22" s="10">
        <v>45661</v>
      </c>
      <c r="D22" s="3" t="s">
        <v>15</v>
      </c>
      <c r="E22" s="3" t="s">
        <v>64</v>
      </c>
      <c r="F22" s="19">
        <v>4838</v>
      </c>
      <c r="G22" s="19">
        <v>640</v>
      </c>
      <c r="H22" s="19">
        <v>128</v>
      </c>
      <c r="I22" s="19">
        <v>72570</v>
      </c>
      <c r="J22" s="19">
        <v>72396</v>
      </c>
      <c r="K22" s="19">
        <v>83</v>
      </c>
      <c r="L22" s="19">
        <f t="shared" si="0"/>
        <v>5606</v>
      </c>
      <c r="M22" s="4" t="s">
        <v>51</v>
      </c>
      <c r="N22" s="3" t="s">
        <v>51</v>
      </c>
      <c r="O22" s="3"/>
      <c r="P22" s="10"/>
      <c r="Q22" s="3" t="s">
        <v>34</v>
      </c>
      <c r="R22" s="75">
        <f t="shared" si="1"/>
        <v>7.7249552156538517E-2</v>
      </c>
    </row>
    <row r="23" spans="1:18" x14ac:dyDescent="0.3">
      <c r="A23" s="3" t="s">
        <v>70</v>
      </c>
      <c r="B23" s="3" t="s">
        <v>38</v>
      </c>
      <c r="C23" s="10">
        <v>45715</v>
      </c>
      <c r="D23" s="3" t="s">
        <v>20</v>
      </c>
      <c r="E23" s="3" t="s">
        <v>47</v>
      </c>
      <c r="F23" s="19">
        <v>1570</v>
      </c>
      <c r="G23" s="19">
        <v>187</v>
      </c>
      <c r="H23" s="19">
        <v>260</v>
      </c>
      <c r="I23" s="19">
        <v>25120</v>
      </c>
      <c r="J23" s="19">
        <v>24613</v>
      </c>
      <c r="K23" s="19">
        <v>133</v>
      </c>
      <c r="L23" s="19">
        <f t="shared" si="0"/>
        <v>2017</v>
      </c>
      <c r="M23" s="4" t="s">
        <v>27</v>
      </c>
      <c r="N23" s="3" t="s">
        <v>27</v>
      </c>
      <c r="O23" s="3"/>
      <c r="P23" s="10"/>
      <c r="Q23" s="3" t="s">
        <v>34</v>
      </c>
      <c r="R23" s="75">
        <f t="shared" si="1"/>
        <v>8.0294585987261149E-2</v>
      </c>
    </row>
    <row r="24" spans="1:18" x14ac:dyDescent="0.3">
      <c r="A24" s="3" t="s">
        <v>71</v>
      </c>
      <c r="B24" s="3" t="s">
        <v>38</v>
      </c>
      <c r="C24" s="10">
        <v>45602</v>
      </c>
      <c r="D24" s="3" t="s">
        <v>59</v>
      </c>
      <c r="E24" s="3" t="s">
        <v>60</v>
      </c>
      <c r="F24" s="19">
        <v>1606</v>
      </c>
      <c r="G24" s="19">
        <v>547</v>
      </c>
      <c r="H24" s="19">
        <v>316</v>
      </c>
      <c r="I24" s="19">
        <v>32120</v>
      </c>
      <c r="J24" s="19">
        <v>31736</v>
      </c>
      <c r="K24" s="19">
        <v>225</v>
      </c>
      <c r="L24" s="19">
        <f t="shared" si="0"/>
        <v>2469</v>
      </c>
      <c r="M24" s="4" t="s">
        <v>72</v>
      </c>
      <c r="N24" s="3" t="s">
        <v>27</v>
      </c>
      <c r="O24" s="3" t="s">
        <v>392</v>
      </c>
      <c r="P24" s="10"/>
      <c r="Q24" s="3" t="s">
        <v>23</v>
      </c>
      <c r="R24" s="75">
        <f t="shared" si="1"/>
        <v>7.6867995018679955E-2</v>
      </c>
    </row>
    <row r="25" spans="1:18" x14ac:dyDescent="0.3">
      <c r="A25" s="3" t="s">
        <v>73</v>
      </c>
      <c r="B25" s="3" t="s">
        <v>38</v>
      </c>
      <c r="C25" s="10">
        <v>45680</v>
      </c>
      <c r="D25" s="3" t="s">
        <v>59</v>
      </c>
      <c r="E25" s="3" t="s">
        <v>60</v>
      </c>
      <c r="F25" s="19">
        <v>3961</v>
      </c>
      <c r="G25" s="19">
        <v>761</v>
      </c>
      <c r="H25" s="19">
        <v>131</v>
      </c>
      <c r="I25" s="19">
        <v>67337</v>
      </c>
      <c r="J25" s="19">
        <v>66615</v>
      </c>
      <c r="K25" s="19">
        <v>161</v>
      </c>
      <c r="L25" s="19">
        <f t="shared" si="0"/>
        <v>4853</v>
      </c>
      <c r="M25" s="4" t="s">
        <v>51</v>
      </c>
      <c r="N25" s="3" t="s">
        <v>51</v>
      </c>
      <c r="O25" s="3"/>
      <c r="P25" s="10"/>
      <c r="Q25" s="3" t="s">
        <v>28</v>
      </c>
      <c r="R25" s="75">
        <f t="shared" si="1"/>
        <v>7.2070332803659209E-2</v>
      </c>
    </row>
    <row r="26" spans="1:18" x14ac:dyDescent="0.3">
      <c r="A26" s="3" t="s">
        <v>74</v>
      </c>
      <c r="B26" s="3" t="s">
        <v>14</v>
      </c>
      <c r="C26" s="10">
        <v>45757</v>
      </c>
      <c r="D26" s="3" t="s">
        <v>39</v>
      </c>
      <c r="E26" s="3" t="s">
        <v>42</v>
      </c>
      <c r="F26" s="19">
        <v>3128</v>
      </c>
      <c r="G26" s="19">
        <v>211</v>
      </c>
      <c r="H26" s="19">
        <v>197</v>
      </c>
      <c r="I26" s="19">
        <v>59432</v>
      </c>
      <c r="J26" s="19">
        <v>59182</v>
      </c>
      <c r="K26" s="19">
        <v>238</v>
      </c>
      <c r="L26" s="19">
        <f t="shared" si="0"/>
        <v>3536</v>
      </c>
      <c r="M26" s="4" t="s">
        <v>33</v>
      </c>
      <c r="N26" s="3" t="s">
        <v>33</v>
      </c>
      <c r="O26" s="3"/>
      <c r="P26" s="10"/>
      <c r="Q26" s="3" t="s">
        <v>397</v>
      </c>
      <c r="R26" s="75">
        <f t="shared" si="1"/>
        <v>5.9496567505720827E-2</v>
      </c>
    </row>
    <row r="27" spans="1:18" x14ac:dyDescent="0.3">
      <c r="A27" s="3" t="s">
        <v>75</v>
      </c>
      <c r="B27" s="3" t="s">
        <v>25</v>
      </c>
      <c r="C27" s="10">
        <v>45752</v>
      </c>
      <c r="D27" s="3" t="s">
        <v>15</v>
      </c>
      <c r="E27" s="3" t="s">
        <v>26</v>
      </c>
      <c r="F27" s="19">
        <v>3009</v>
      </c>
      <c r="G27" s="19">
        <v>413</v>
      </c>
      <c r="H27" s="19">
        <v>358</v>
      </c>
      <c r="I27" s="19">
        <v>42126</v>
      </c>
      <c r="J27" s="19">
        <v>41309</v>
      </c>
      <c r="K27" s="19">
        <v>211</v>
      </c>
      <c r="L27" s="19">
        <f t="shared" si="0"/>
        <v>3780</v>
      </c>
      <c r="M27" s="4" t="s">
        <v>51</v>
      </c>
      <c r="N27" s="3" t="s">
        <v>51</v>
      </c>
      <c r="O27" s="3"/>
      <c r="P27" s="10"/>
      <c r="Q27" s="3" t="s">
        <v>23</v>
      </c>
      <c r="R27" s="75">
        <f t="shared" si="1"/>
        <v>8.9730807577268201E-2</v>
      </c>
    </row>
    <row r="28" spans="1:18" x14ac:dyDescent="0.3">
      <c r="A28" s="3" t="s">
        <v>76</v>
      </c>
      <c r="B28" s="3" t="s">
        <v>25</v>
      </c>
      <c r="C28" s="10">
        <v>45552</v>
      </c>
      <c r="D28" s="3" t="s">
        <v>20</v>
      </c>
      <c r="E28" s="3" t="s">
        <v>77</v>
      </c>
      <c r="F28" s="19">
        <v>2076</v>
      </c>
      <c r="G28" s="19">
        <v>195</v>
      </c>
      <c r="H28" s="19">
        <v>104</v>
      </c>
      <c r="I28" s="19">
        <v>33216</v>
      </c>
      <c r="J28" s="19">
        <v>32244</v>
      </c>
      <c r="K28" s="19">
        <v>51</v>
      </c>
      <c r="L28" s="19">
        <f t="shared" si="0"/>
        <v>2375</v>
      </c>
      <c r="M28" s="4" t="s">
        <v>51</v>
      </c>
      <c r="N28" s="3" t="s">
        <v>51</v>
      </c>
      <c r="O28" s="3"/>
      <c r="P28" s="10"/>
      <c r="Q28" s="3" t="s">
        <v>34</v>
      </c>
      <c r="R28" s="75">
        <f t="shared" si="1"/>
        <v>7.1501685934489398E-2</v>
      </c>
    </row>
    <row r="29" spans="1:18" x14ac:dyDescent="0.3">
      <c r="A29" s="3" t="s">
        <v>78</v>
      </c>
      <c r="B29" s="3" t="s">
        <v>30</v>
      </c>
      <c r="C29" s="10">
        <v>45720</v>
      </c>
      <c r="D29" s="3" t="s">
        <v>59</v>
      </c>
      <c r="E29" s="3" t="s">
        <v>66</v>
      </c>
      <c r="F29" s="19">
        <v>432</v>
      </c>
      <c r="G29" s="19">
        <v>624</v>
      </c>
      <c r="H29" s="19">
        <v>123</v>
      </c>
      <c r="I29" s="19">
        <v>6912</v>
      </c>
      <c r="J29" s="19">
        <v>6259</v>
      </c>
      <c r="K29" s="19">
        <v>79</v>
      </c>
      <c r="L29" s="19">
        <f t="shared" si="0"/>
        <v>1179</v>
      </c>
      <c r="M29" s="4" t="s">
        <v>51</v>
      </c>
      <c r="N29" s="3" t="s">
        <v>51</v>
      </c>
      <c r="O29" s="3"/>
      <c r="P29" s="10"/>
      <c r="Q29" s="3" t="s">
        <v>34</v>
      </c>
      <c r="R29" s="75">
        <f t="shared" si="1"/>
        <v>0.17057291666666666</v>
      </c>
    </row>
    <row r="30" spans="1:18" x14ac:dyDescent="0.3">
      <c r="A30" s="3" t="s">
        <v>79</v>
      </c>
      <c r="B30" s="3" t="s">
        <v>30</v>
      </c>
      <c r="C30" s="10">
        <v>45688</v>
      </c>
      <c r="D30" s="3" t="s">
        <v>39</v>
      </c>
      <c r="E30" s="3" t="s">
        <v>68</v>
      </c>
      <c r="F30" s="19">
        <v>2566</v>
      </c>
      <c r="G30" s="19">
        <v>118</v>
      </c>
      <c r="H30" s="19">
        <v>37</v>
      </c>
      <c r="I30" s="19">
        <v>12830</v>
      </c>
      <c r="J30" s="19">
        <v>12264</v>
      </c>
      <c r="K30" s="19">
        <v>221</v>
      </c>
      <c r="L30" s="19">
        <f t="shared" si="0"/>
        <v>2721</v>
      </c>
      <c r="M30" s="4" t="s">
        <v>51</v>
      </c>
      <c r="N30" s="3" t="s">
        <v>51</v>
      </c>
      <c r="O30" s="3"/>
      <c r="P30" s="10"/>
      <c r="Q30" s="3" t="s">
        <v>28</v>
      </c>
      <c r="R30" s="75">
        <f t="shared" si="1"/>
        <v>0.21208106001558846</v>
      </c>
    </row>
    <row r="31" spans="1:18" x14ac:dyDescent="0.3">
      <c r="A31" s="3" t="s">
        <v>80</v>
      </c>
      <c r="B31" s="3" t="s">
        <v>30</v>
      </c>
      <c r="C31" s="10">
        <v>45713</v>
      </c>
      <c r="D31" s="3" t="s">
        <v>59</v>
      </c>
      <c r="E31" s="3" t="s">
        <v>66</v>
      </c>
      <c r="F31" s="19">
        <v>3095</v>
      </c>
      <c r="G31" s="19">
        <v>39</v>
      </c>
      <c r="H31" s="19">
        <v>78</v>
      </c>
      <c r="I31" s="19">
        <v>55710</v>
      </c>
      <c r="J31" s="19">
        <v>54808</v>
      </c>
      <c r="K31" s="19">
        <v>93</v>
      </c>
      <c r="L31" s="19">
        <f t="shared" si="0"/>
        <v>3212</v>
      </c>
      <c r="M31" s="4" t="s">
        <v>33</v>
      </c>
      <c r="N31" s="3" t="s">
        <v>33</v>
      </c>
      <c r="O31" s="3"/>
      <c r="P31" s="10"/>
      <c r="Q31" s="3" t="s">
        <v>397</v>
      </c>
      <c r="R31" s="75">
        <f t="shared" si="1"/>
        <v>5.7655717106444085E-2</v>
      </c>
    </row>
    <row r="32" spans="1:18" x14ac:dyDescent="0.3">
      <c r="A32" s="3" t="s">
        <v>81</v>
      </c>
      <c r="B32" s="3" t="s">
        <v>30</v>
      </c>
      <c r="C32" s="10">
        <v>45642</v>
      </c>
      <c r="D32" s="3" t="s">
        <v>20</v>
      </c>
      <c r="E32" s="3" t="s">
        <v>82</v>
      </c>
      <c r="F32" s="19">
        <v>438</v>
      </c>
      <c r="G32" s="19">
        <v>153</v>
      </c>
      <c r="H32" s="19">
        <v>275</v>
      </c>
      <c r="I32" s="19">
        <v>3066</v>
      </c>
      <c r="J32" s="19">
        <v>2701</v>
      </c>
      <c r="K32" s="19">
        <v>282</v>
      </c>
      <c r="L32" s="19">
        <f t="shared" si="0"/>
        <v>866</v>
      </c>
      <c r="M32" s="4" t="s">
        <v>27</v>
      </c>
      <c r="N32" s="3" t="s">
        <v>27</v>
      </c>
      <c r="O32" s="3"/>
      <c r="P32" s="10"/>
      <c r="Q32" s="3" t="s">
        <v>23</v>
      </c>
      <c r="R32" s="75">
        <f t="shared" si="1"/>
        <v>0.28245270711024134</v>
      </c>
    </row>
    <row r="33" spans="1:18" x14ac:dyDescent="0.3">
      <c r="A33" s="3" t="s">
        <v>83</v>
      </c>
      <c r="B33" s="3" t="s">
        <v>14</v>
      </c>
      <c r="C33" s="10">
        <v>45504</v>
      </c>
      <c r="D33" s="3" t="s">
        <v>39</v>
      </c>
      <c r="E33" s="3" t="s">
        <v>42</v>
      </c>
      <c r="F33" s="19">
        <v>2278</v>
      </c>
      <c r="G33" s="19">
        <v>10</v>
      </c>
      <c r="H33" s="19">
        <v>321</v>
      </c>
      <c r="I33" s="19">
        <v>13668</v>
      </c>
      <c r="J33" s="19">
        <v>12676</v>
      </c>
      <c r="K33" s="19">
        <v>275</v>
      </c>
      <c r="L33" s="19">
        <f t="shared" si="0"/>
        <v>2609</v>
      </c>
      <c r="M33" s="4" t="s">
        <v>33</v>
      </c>
      <c r="N33" s="3" t="s">
        <v>33</v>
      </c>
      <c r="O33" s="3"/>
      <c r="P33" s="10"/>
      <c r="Q33" s="3" t="s">
        <v>18</v>
      </c>
      <c r="R33" s="75">
        <f t="shared" si="1"/>
        <v>0.19088381621305239</v>
      </c>
    </row>
    <row r="34" spans="1:18" x14ac:dyDescent="0.3">
      <c r="A34" s="3" t="s">
        <v>84</v>
      </c>
      <c r="B34" s="3" t="s">
        <v>38</v>
      </c>
      <c r="C34" s="10">
        <v>45525</v>
      </c>
      <c r="D34" s="3" t="s">
        <v>44</v>
      </c>
      <c r="E34" s="3" t="s">
        <v>49</v>
      </c>
      <c r="F34" s="19">
        <v>1407</v>
      </c>
      <c r="G34" s="19">
        <v>400</v>
      </c>
      <c r="H34" s="19">
        <v>351</v>
      </c>
      <c r="I34" s="19">
        <v>16884</v>
      </c>
      <c r="J34" s="19">
        <v>15954</v>
      </c>
      <c r="K34" s="19">
        <v>113</v>
      </c>
      <c r="L34" s="19">
        <f t="shared" si="0"/>
        <v>2158</v>
      </c>
      <c r="M34" s="4" t="s">
        <v>27</v>
      </c>
      <c r="N34" s="3" t="s">
        <v>27</v>
      </c>
      <c r="O34" s="3"/>
      <c r="P34" s="10"/>
      <c r="Q34" s="3" t="s">
        <v>18</v>
      </c>
      <c r="R34" s="75">
        <f t="shared" si="1"/>
        <v>0.12781331438047855</v>
      </c>
    </row>
    <row r="35" spans="1:18" x14ac:dyDescent="0.3">
      <c r="A35" s="3" t="s">
        <v>85</v>
      </c>
      <c r="B35" s="3" t="s">
        <v>38</v>
      </c>
      <c r="C35" s="10">
        <v>45742</v>
      </c>
      <c r="D35" s="3" t="s">
        <v>20</v>
      </c>
      <c r="E35" s="3" t="s">
        <v>47</v>
      </c>
      <c r="F35" s="19">
        <v>1652</v>
      </c>
      <c r="G35" s="19">
        <v>89</v>
      </c>
      <c r="H35" s="19">
        <v>357</v>
      </c>
      <c r="I35" s="19">
        <v>29736</v>
      </c>
      <c r="J35" s="19">
        <v>28771</v>
      </c>
      <c r="K35" s="19">
        <v>215</v>
      </c>
      <c r="L35" s="19">
        <f t="shared" si="0"/>
        <v>2098</v>
      </c>
      <c r="M35" s="4" t="s">
        <v>27</v>
      </c>
      <c r="N35" s="3" t="s">
        <v>27</v>
      </c>
      <c r="O35" s="3"/>
      <c r="P35" s="10"/>
      <c r="Q35" s="3" t="s">
        <v>28</v>
      </c>
      <c r="R35" s="75">
        <f t="shared" si="1"/>
        <v>7.055421038471886E-2</v>
      </c>
    </row>
    <row r="36" spans="1:18" x14ac:dyDescent="0.3">
      <c r="A36" s="3" t="s">
        <v>86</v>
      </c>
      <c r="B36" s="3" t="s">
        <v>30</v>
      </c>
      <c r="C36" s="10">
        <v>45626</v>
      </c>
      <c r="D36" s="3" t="s">
        <v>59</v>
      </c>
      <c r="E36" s="3" t="s">
        <v>66</v>
      </c>
      <c r="F36" s="19">
        <v>3775</v>
      </c>
      <c r="G36" s="19">
        <v>16</v>
      </c>
      <c r="H36" s="19">
        <v>239</v>
      </c>
      <c r="I36" s="19">
        <v>33975</v>
      </c>
      <c r="J36" s="19">
        <v>33310</v>
      </c>
      <c r="K36" s="19">
        <v>271</v>
      </c>
      <c r="L36" s="19">
        <f t="shared" si="0"/>
        <v>4030</v>
      </c>
      <c r="M36" s="4" t="s">
        <v>51</v>
      </c>
      <c r="N36" s="3" t="s">
        <v>51</v>
      </c>
      <c r="O36" s="3"/>
      <c r="P36" s="10"/>
      <c r="Q36" s="3" t="s">
        <v>23</v>
      </c>
      <c r="R36" s="75">
        <f t="shared" si="1"/>
        <v>0.11861662987490802</v>
      </c>
    </row>
    <row r="37" spans="1:18" x14ac:dyDescent="0.3">
      <c r="A37" s="3" t="s">
        <v>87</v>
      </c>
      <c r="B37" s="3" t="s">
        <v>30</v>
      </c>
      <c r="C37" s="10">
        <v>45766</v>
      </c>
      <c r="D37" s="3" t="s">
        <v>31</v>
      </c>
      <c r="E37" s="3" t="s">
        <v>32</v>
      </c>
      <c r="F37" s="19">
        <v>4518</v>
      </c>
      <c r="G37" s="19">
        <v>285</v>
      </c>
      <c r="H37" s="19">
        <v>383</v>
      </c>
      <c r="I37" s="19">
        <v>67770</v>
      </c>
      <c r="J37" s="19">
        <v>67621</v>
      </c>
      <c r="K37" s="19">
        <v>31</v>
      </c>
      <c r="L37" s="19">
        <f t="shared" si="0"/>
        <v>5186</v>
      </c>
      <c r="M37" s="4" t="s">
        <v>33</v>
      </c>
      <c r="N37" s="3" t="s">
        <v>33</v>
      </c>
      <c r="O37" s="3"/>
      <c r="P37" s="10"/>
      <c r="Q37" s="3" t="s">
        <v>23</v>
      </c>
      <c r="R37" s="75">
        <f t="shared" si="1"/>
        <v>7.6523535487678915E-2</v>
      </c>
    </row>
    <row r="38" spans="1:18" x14ac:dyDescent="0.3">
      <c r="A38" s="3" t="s">
        <v>88</v>
      </c>
      <c r="B38" s="3" t="s">
        <v>38</v>
      </c>
      <c r="C38" s="10">
        <v>45663</v>
      </c>
      <c r="D38" s="3" t="s">
        <v>39</v>
      </c>
      <c r="E38" s="3" t="s">
        <v>40</v>
      </c>
      <c r="F38" s="19">
        <v>3024</v>
      </c>
      <c r="G38" s="19">
        <v>925</v>
      </c>
      <c r="H38" s="19">
        <v>350</v>
      </c>
      <c r="I38" s="19">
        <v>24192</v>
      </c>
      <c r="J38" s="19">
        <v>23518</v>
      </c>
      <c r="K38" s="19">
        <v>36</v>
      </c>
      <c r="L38" s="19">
        <f t="shared" si="0"/>
        <v>4299</v>
      </c>
      <c r="M38" s="4" t="s">
        <v>33</v>
      </c>
      <c r="N38" s="3" t="s">
        <v>33</v>
      </c>
      <c r="O38" s="3"/>
      <c r="P38" s="10"/>
      <c r="Q38" s="3" t="s">
        <v>23</v>
      </c>
      <c r="R38" s="75">
        <f t="shared" si="1"/>
        <v>0.17770337301587302</v>
      </c>
    </row>
    <row r="39" spans="1:18" x14ac:dyDescent="0.3">
      <c r="A39" s="3" t="s">
        <v>89</v>
      </c>
      <c r="B39" s="3" t="s">
        <v>25</v>
      </c>
      <c r="C39" s="10">
        <v>45705</v>
      </c>
      <c r="D39" s="3" t="s">
        <v>15</v>
      </c>
      <c r="E39" s="3" t="s">
        <v>26</v>
      </c>
      <c r="F39" s="19">
        <v>3138</v>
      </c>
      <c r="G39" s="19">
        <v>123</v>
      </c>
      <c r="H39" s="19">
        <v>291</v>
      </c>
      <c r="I39" s="19">
        <v>28242</v>
      </c>
      <c r="J39" s="19">
        <v>27550</v>
      </c>
      <c r="K39" s="19">
        <v>87</v>
      </c>
      <c r="L39" s="19">
        <f t="shared" si="0"/>
        <v>3552</v>
      </c>
      <c r="M39" s="4" t="s">
        <v>27</v>
      </c>
      <c r="N39" s="3" t="s">
        <v>27</v>
      </c>
      <c r="O39" s="3"/>
      <c r="P39" s="10"/>
      <c r="Q39" s="3" t="s">
        <v>34</v>
      </c>
      <c r="R39" s="75">
        <f t="shared" si="1"/>
        <v>0.12577012959422137</v>
      </c>
    </row>
    <row r="40" spans="1:18" x14ac:dyDescent="0.3">
      <c r="A40" s="3" t="s">
        <v>90</v>
      </c>
      <c r="B40" s="3" t="s">
        <v>38</v>
      </c>
      <c r="C40" s="10">
        <v>45621</v>
      </c>
      <c r="D40" s="3" t="s">
        <v>44</v>
      </c>
      <c r="E40" s="3" t="s">
        <v>49</v>
      </c>
      <c r="F40" s="19">
        <v>3564</v>
      </c>
      <c r="G40" s="19">
        <v>629</v>
      </c>
      <c r="H40" s="19">
        <v>177</v>
      </c>
      <c r="I40" s="19">
        <v>60588</v>
      </c>
      <c r="J40" s="19">
        <v>59627</v>
      </c>
      <c r="K40" s="19">
        <v>92</v>
      </c>
      <c r="L40" s="19">
        <f t="shared" si="0"/>
        <v>4370</v>
      </c>
      <c r="M40" s="4" t="s">
        <v>27</v>
      </c>
      <c r="N40" s="3" t="s">
        <v>27</v>
      </c>
      <c r="O40" s="3"/>
      <c r="P40" s="10"/>
      <c r="Q40" s="3" t="s">
        <v>397</v>
      </c>
      <c r="R40" s="75">
        <f t="shared" si="1"/>
        <v>7.2126493695121141E-2</v>
      </c>
    </row>
    <row r="41" spans="1:18" x14ac:dyDescent="0.3">
      <c r="A41" s="3" t="s">
        <v>91</v>
      </c>
      <c r="B41" s="3" t="s">
        <v>14</v>
      </c>
      <c r="C41" s="10">
        <v>45723</v>
      </c>
      <c r="D41" s="3" t="s">
        <v>44</v>
      </c>
      <c r="E41" s="3" t="s">
        <v>92</v>
      </c>
      <c r="F41" s="19">
        <v>4750</v>
      </c>
      <c r="G41" s="19">
        <v>151</v>
      </c>
      <c r="H41" s="19">
        <v>415</v>
      </c>
      <c r="I41" s="19">
        <v>38000</v>
      </c>
      <c r="J41" s="19">
        <v>37792</v>
      </c>
      <c r="K41" s="19">
        <v>299</v>
      </c>
      <c r="L41" s="19">
        <f t="shared" si="0"/>
        <v>5316</v>
      </c>
      <c r="M41" s="4" t="s">
        <v>33</v>
      </c>
      <c r="N41" s="3" t="s">
        <v>33</v>
      </c>
      <c r="O41" s="3"/>
      <c r="P41" s="10"/>
      <c r="Q41" s="3" t="s">
        <v>34</v>
      </c>
      <c r="R41" s="75">
        <f t="shared" si="1"/>
        <v>0.13989473684210527</v>
      </c>
    </row>
    <row r="42" spans="1:18" x14ac:dyDescent="0.3">
      <c r="A42" s="3" t="s">
        <v>93</v>
      </c>
      <c r="B42" s="3" t="s">
        <v>30</v>
      </c>
      <c r="C42" s="10">
        <v>45724</v>
      </c>
      <c r="D42" s="3" t="s">
        <v>15</v>
      </c>
      <c r="E42" s="3" t="s">
        <v>64</v>
      </c>
      <c r="F42" s="19">
        <v>456</v>
      </c>
      <c r="G42" s="19">
        <v>629</v>
      </c>
      <c r="H42" s="19">
        <v>428</v>
      </c>
      <c r="I42" s="19">
        <v>8208</v>
      </c>
      <c r="J42" s="19">
        <v>7377</v>
      </c>
      <c r="K42" s="19">
        <v>205</v>
      </c>
      <c r="L42" s="19">
        <f t="shared" si="0"/>
        <v>1513</v>
      </c>
      <c r="M42" s="4" t="s">
        <v>51</v>
      </c>
      <c r="N42" s="3" t="s">
        <v>51</v>
      </c>
      <c r="O42" s="3"/>
      <c r="P42" s="10"/>
      <c r="Q42" s="3" t="s">
        <v>34</v>
      </c>
      <c r="R42" s="75">
        <f t="shared" si="1"/>
        <v>0.18433235867446393</v>
      </c>
    </row>
    <row r="43" spans="1:18" x14ac:dyDescent="0.3">
      <c r="A43" s="3" t="s">
        <v>94</v>
      </c>
      <c r="B43" s="3" t="s">
        <v>25</v>
      </c>
      <c r="C43" s="10">
        <v>45721</v>
      </c>
      <c r="D43" s="3" t="s">
        <v>15</v>
      </c>
      <c r="E43" s="3" t="s">
        <v>26</v>
      </c>
      <c r="F43" s="19">
        <v>1543</v>
      </c>
      <c r="G43" s="19">
        <v>820</v>
      </c>
      <c r="H43" s="19">
        <v>333</v>
      </c>
      <c r="I43" s="19">
        <v>12344</v>
      </c>
      <c r="J43" s="19">
        <v>11496</v>
      </c>
      <c r="K43" s="19">
        <v>241</v>
      </c>
      <c r="L43" s="19">
        <f t="shared" si="0"/>
        <v>2696</v>
      </c>
      <c r="M43" s="4" t="s">
        <v>33</v>
      </c>
      <c r="N43" s="3" t="s">
        <v>33</v>
      </c>
      <c r="O43" s="3"/>
      <c r="P43" s="10"/>
      <c r="Q43" s="3" t="s">
        <v>397</v>
      </c>
      <c r="R43" s="75">
        <f t="shared" si="1"/>
        <v>0.21840570317563188</v>
      </c>
    </row>
    <row r="44" spans="1:18" x14ac:dyDescent="0.3">
      <c r="A44" s="3" t="s">
        <v>95</v>
      </c>
      <c r="B44" s="3" t="s">
        <v>30</v>
      </c>
      <c r="C44" s="10">
        <v>45640</v>
      </c>
      <c r="D44" s="3" t="s">
        <v>39</v>
      </c>
      <c r="E44" s="3" t="s">
        <v>68</v>
      </c>
      <c r="F44" s="19">
        <v>2174</v>
      </c>
      <c r="G44" s="19">
        <v>658</v>
      </c>
      <c r="H44" s="19">
        <v>15</v>
      </c>
      <c r="I44" s="19">
        <v>13044</v>
      </c>
      <c r="J44" s="19">
        <v>12206</v>
      </c>
      <c r="K44" s="19">
        <v>137</v>
      </c>
      <c r="L44" s="19">
        <f t="shared" si="0"/>
        <v>2847</v>
      </c>
      <c r="M44" s="4" t="s">
        <v>27</v>
      </c>
      <c r="N44" s="3" t="s">
        <v>27</v>
      </c>
      <c r="O44" s="3"/>
      <c r="P44" s="10"/>
      <c r="Q44" s="3" t="s">
        <v>28</v>
      </c>
      <c r="R44" s="75">
        <f t="shared" si="1"/>
        <v>0.21826126954921804</v>
      </c>
    </row>
    <row r="45" spans="1:18" x14ac:dyDescent="0.3">
      <c r="A45" s="3" t="s">
        <v>96</v>
      </c>
      <c r="B45" s="3" t="s">
        <v>14</v>
      </c>
      <c r="C45" s="10">
        <v>45718</v>
      </c>
      <c r="D45" s="3" t="s">
        <v>44</v>
      </c>
      <c r="E45" s="3" t="s">
        <v>92</v>
      </c>
      <c r="F45" s="19">
        <v>2358</v>
      </c>
      <c r="G45" s="19">
        <v>784</v>
      </c>
      <c r="H45" s="19">
        <v>344</v>
      </c>
      <c r="I45" s="19">
        <v>35370</v>
      </c>
      <c r="J45" s="19">
        <v>34475</v>
      </c>
      <c r="K45" s="19">
        <v>216</v>
      </c>
      <c r="L45" s="19">
        <f t="shared" si="0"/>
        <v>3486</v>
      </c>
      <c r="M45" s="4" t="s">
        <v>27</v>
      </c>
      <c r="N45" s="3" t="s">
        <v>27</v>
      </c>
      <c r="O45" s="3"/>
      <c r="P45" s="10"/>
      <c r="Q45" s="3" t="s">
        <v>397</v>
      </c>
      <c r="R45" s="75">
        <f t="shared" si="1"/>
        <v>9.8558100084817649E-2</v>
      </c>
    </row>
    <row r="46" spans="1:18" x14ac:dyDescent="0.3">
      <c r="A46" s="3" t="s">
        <v>97</v>
      </c>
      <c r="B46" s="3" t="s">
        <v>38</v>
      </c>
      <c r="C46" s="10">
        <v>45597</v>
      </c>
      <c r="D46" s="3" t="s">
        <v>59</v>
      </c>
      <c r="E46" s="3" t="s">
        <v>60</v>
      </c>
      <c r="F46" s="19">
        <v>3371</v>
      </c>
      <c r="G46" s="19">
        <v>106</v>
      </c>
      <c r="H46" s="19">
        <v>327</v>
      </c>
      <c r="I46" s="19">
        <v>50565</v>
      </c>
      <c r="J46" s="19">
        <v>49816</v>
      </c>
      <c r="K46" s="19">
        <v>176</v>
      </c>
      <c r="L46" s="19">
        <f t="shared" si="0"/>
        <v>3804</v>
      </c>
      <c r="M46" s="4" t="s">
        <v>51</v>
      </c>
      <c r="N46" s="3" t="s">
        <v>51</v>
      </c>
      <c r="O46" s="3"/>
      <c r="P46" s="10"/>
      <c r="Q46" s="3" t="s">
        <v>18</v>
      </c>
      <c r="R46" s="75">
        <f t="shared" si="1"/>
        <v>7.5229902106199939E-2</v>
      </c>
    </row>
    <row r="47" spans="1:18" x14ac:dyDescent="0.3">
      <c r="A47" s="3" t="s">
        <v>98</v>
      </c>
      <c r="B47" s="3" t="s">
        <v>14</v>
      </c>
      <c r="C47" s="10">
        <v>45779</v>
      </c>
      <c r="D47" s="3" t="s">
        <v>59</v>
      </c>
      <c r="E47" s="3" t="s">
        <v>99</v>
      </c>
      <c r="F47" s="19">
        <v>1108</v>
      </c>
      <c r="G47" s="19">
        <v>177</v>
      </c>
      <c r="H47" s="19">
        <v>212</v>
      </c>
      <c r="I47" s="19">
        <v>8864</v>
      </c>
      <c r="J47" s="19">
        <v>8710</v>
      </c>
      <c r="K47" s="19">
        <v>97</v>
      </c>
      <c r="L47" s="19">
        <f t="shared" si="0"/>
        <v>1497</v>
      </c>
      <c r="M47" s="4" t="s">
        <v>27</v>
      </c>
      <c r="N47" s="3" t="s">
        <v>27</v>
      </c>
      <c r="O47" s="3"/>
      <c r="P47" s="10"/>
      <c r="Q47" s="3" t="s">
        <v>34</v>
      </c>
      <c r="R47" s="75">
        <f t="shared" si="1"/>
        <v>0.16888537906137185</v>
      </c>
    </row>
    <row r="48" spans="1:18" x14ac:dyDescent="0.3">
      <c r="A48" s="3" t="s">
        <v>100</v>
      </c>
      <c r="B48" s="3" t="s">
        <v>14</v>
      </c>
      <c r="C48" s="10">
        <v>45712</v>
      </c>
      <c r="D48" s="3" t="s">
        <v>39</v>
      </c>
      <c r="E48" s="3" t="s">
        <v>42</v>
      </c>
      <c r="F48" s="19">
        <v>2704</v>
      </c>
      <c r="G48" s="19">
        <v>752</v>
      </c>
      <c r="H48" s="19">
        <v>153</v>
      </c>
      <c r="I48" s="19">
        <v>21632</v>
      </c>
      <c r="J48" s="19">
        <v>20792</v>
      </c>
      <c r="K48" s="19">
        <v>127</v>
      </c>
      <c r="L48" s="19">
        <f t="shared" si="0"/>
        <v>3609</v>
      </c>
      <c r="M48" s="4" t="s">
        <v>51</v>
      </c>
      <c r="N48" s="3" t="s">
        <v>51</v>
      </c>
      <c r="O48" s="3"/>
      <c r="P48" s="10"/>
      <c r="Q48" s="3" t="s">
        <v>397</v>
      </c>
      <c r="R48" s="75">
        <f t="shared" si="1"/>
        <v>0.16683616863905326</v>
      </c>
    </row>
    <row r="49" spans="1:18" x14ac:dyDescent="0.3">
      <c r="A49" s="3" t="s">
        <v>101</v>
      </c>
      <c r="B49" s="3" t="s">
        <v>14</v>
      </c>
      <c r="C49" s="10">
        <v>45727</v>
      </c>
      <c r="D49" s="3" t="s">
        <v>31</v>
      </c>
      <c r="E49" s="3" t="s">
        <v>102</v>
      </c>
      <c r="F49" s="19">
        <v>1950</v>
      </c>
      <c r="G49" s="19">
        <v>295</v>
      </c>
      <c r="H49" s="19">
        <v>478</v>
      </c>
      <c r="I49" s="19">
        <v>37050</v>
      </c>
      <c r="J49" s="19">
        <v>36272</v>
      </c>
      <c r="K49" s="19">
        <v>119</v>
      </c>
      <c r="L49" s="19">
        <f t="shared" si="0"/>
        <v>2723</v>
      </c>
      <c r="M49" s="4" t="s">
        <v>27</v>
      </c>
      <c r="N49" s="3" t="s">
        <v>27</v>
      </c>
      <c r="O49" s="3"/>
      <c r="P49" s="10"/>
      <c r="Q49" s="3" t="s">
        <v>397</v>
      </c>
      <c r="R49" s="75">
        <f t="shared" si="1"/>
        <v>7.349527665317139E-2</v>
      </c>
    </row>
    <row r="50" spans="1:18" x14ac:dyDescent="0.3">
      <c r="A50" s="3" t="s">
        <v>103</v>
      </c>
      <c r="B50" s="3" t="s">
        <v>14</v>
      </c>
      <c r="C50" s="10">
        <v>45453</v>
      </c>
      <c r="D50" s="3" t="s">
        <v>31</v>
      </c>
      <c r="E50" s="3" t="s">
        <v>102</v>
      </c>
      <c r="F50" s="19">
        <v>2164</v>
      </c>
      <c r="G50" s="19">
        <v>549</v>
      </c>
      <c r="H50" s="19">
        <v>274</v>
      </c>
      <c r="I50" s="19">
        <v>28132</v>
      </c>
      <c r="J50" s="19">
        <v>27361</v>
      </c>
      <c r="K50" s="19">
        <v>177</v>
      </c>
      <c r="L50" s="19">
        <f t="shared" si="0"/>
        <v>2987</v>
      </c>
      <c r="M50" s="4" t="s">
        <v>27</v>
      </c>
      <c r="N50" s="3" t="s">
        <v>27</v>
      </c>
      <c r="O50" s="3"/>
      <c r="P50" s="10"/>
      <c r="Q50" s="3" t="s">
        <v>34</v>
      </c>
      <c r="R50" s="75">
        <f t="shared" si="1"/>
        <v>0.10617801791554102</v>
      </c>
    </row>
    <row r="51" spans="1:18" x14ac:dyDescent="0.3">
      <c r="A51" s="3" t="s">
        <v>104</v>
      </c>
      <c r="B51" s="3" t="s">
        <v>25</v>
      </c>
      <c r="C51" s="10">
        <v>45476</v>
      </c>
      <c r="D51" s="3" t="s">
        <v>31</v>
      </c>
      <c r="E51" s="3" t="s">
        <v>105</v>
      </c>
      <c r="F51" s="19">
        <v>2754</v>
      </c>
      <c r="G51" s="19">
        <v>130</v>
      </c>
      <c r="H51" s="19">
        <v>90</v>
      </c>
      <c r="I51" s="19">
        <v>22032</v>
      </c>
      <c r="J51" s="19">
        <v>21288</v>
      </c>
      <c r="K51" s="19">
        <v>112</v>
      </c>
      <c r="L51" s="19">
        <f t="shared" si="0"/>
        <v>2974</v>
      </c>
      <c r="M51" s="4" t="s">
        <v>27</v>
      </c>
      <c r="N51" s="3" t="s">
        <v>27</v>
      </c>
      <c r="O51" s="3"/>
      <c r="P51" s="10"/>
      <c r="Q51" s="3" t="s">
        <v>28</v>
      </c>
      <c r="R51" s="75">
        <f t="shared" si="1"/>
        <v>0.13498547567175018</v>
      </c>
    </row>
    <row r="52" spans="1:18" x14ac:dyDescent="0.3">
      <c r="A52" s="3" t="s">
        <v>106</v>
      </c>
      <c r="B52" s="3" t="s">
        <v>38</v>
      </c>
      <c r="C52" s="10">
        <v>45456</v>
      </c>
      <c r="D52" s="3" t="s">
        <v>39</v>
      </c>
      <c r="E52" s="3" t="s">
        <v>40</v>
      </c>
      <c r="F52" s="19">
        <v>2200</v>
      </c>
      <c r="G52" s="19">
        <v>504</v>
      </c>
      <c r="H52" s="19">
        <v>239</v>
      </c>
      <c r="I52" s="19">
        <v>37400</v>
      </c>
      <c r="J52" s="19">
        <v>36938</v>
      </c>
      <c r="K52" s="19">
        <v>225</v>
      </c>
      <c r="L52" s="19">
        <f t="shared" si="0"/>
        <v>2943</v>
      </c>
      <c r="M52" s="4" t="s">
        <v>51</v>
      </c>
      <c r="N52" s="3" t="s">
        <v>51</v>
      </c>
      <c r="O52" s="3"/>
      <c r="P52" s="10"/>
      <c r="Q52" s="3" t="s">
        <v>23</v>
      </c>
      <c r="R52" s="75">
        <f t="shared" si="1"/>
        <v>7.8689839572192513E-2</v>
      </c>
    </row>
    <row r="53" spans="1:18" x14ac:dyDescent="0.3">
      <c r="A53" s="3" t="s">
        <v>107</v>
      </c>
      <c r="B53" s="3" t="s">
        <v>38</v>
      </c>
      <c r="C53" s="10">
        <v>45660</v>
      </c>
      <c r="D53" s="3" t="s">
        <v>44</v>
      </c>
      <c r="E53" s="3" t="s">
        <v>49</v>
      </c>
      <c r="F53" s="19">
        <v>947</v>
      </c>
      <c r="G53" s="19">
        <v>338</v>
      </c>
      <c r="H53" s="19">
        <v>350</v>
      </c>
      <c r="I53" s="19">
        <v>10417</v>
      </c>
      <c r="J53" s="19">
        <v>9730</v>
      </c>
      <c r="K53" s="19">
        <v>34</v>
      </c>
      <c r="L53" s="19">
        <f t="shared" si="0"/>
        <v>1635</v>
      </c>
      <c r="M53" s="4" t="s">
        <v>27</v>
      </c>
      <c r="N53" s="3" t="s">
        <v>27</v>
      </c>
      <c r="O53" s="3"/>
      <c r="P53" s="10"/>
      <c r="Q53" s="3" t="s">
        <v>34</v>
      </c>
      <c r="R53" s="75">
        <f t="shared" si="1"/>
        <v>0.1569549774407219</v>
      </c>
    </row>
    <row r="54" spans="1:18" x14ac:dyDescent="0.3">
      <c r="A54" s="3" t="s">
        <v>108</v>
      </c>
      <c r="B54" s="3" t="s">
        <v>25</v>
      </c>
      <c r="C54" s="10">
        <v>45712</v>
      </c>
      <c r="D54" s="3" t="s">
        <v>39</v>
      </c>
      <c r="E54" s="3" t="s">
        <v>55</v>
      </c>
      <c r="F54" s="19">
        <v>804</v>
      </c>
      <c r="G54" s="19">
        <v>639</v>
      </c>
      <c r="H54" s="19">
        <v>43</v>
      </c>
      <c r="I54" s="19">
        <v>4020</v>
      </c>
      <c r="J54" s="19">
        <v>3144</v>
      </c>
      <c r="K54" s="19">
        <v>11</v>
      </c>
      <c r="L54" s="19">
        <f t="shared" si="0"/>
        <v>1486</v>
      </c>
      <c r="M54" s="4" t="s">
        <v>109</v>
      </c>
      <c r="N54" s="3" t="s">
        <v>33</v>
      </c>
      <c r="O54" s="3" t="s">
        <v>393</v>
      </c>
      <c r="P54" s="10"/>
      <c r="Q54" s="3" t="s">
        <v>397</v>
      </c>
      <c r="R54" s="75">
        <f t="shared" si="1"/>
        <v>0.36965174129353234</v>
      </c>
    </row>
    <row r="55" spans="1:18" x14ac:dyDescent="0.3">
      <c r="A55" s="3" t="s">
        <v>110</v>
      </c>
      <c r="B55" s="3" t="s">
        <v>25</v>
      </c>
      <c r="C55" s="10">
        <v>45729</v>
      </c>
      <c r="D55" s="3" t="s">
        <v>39</v>
      </c>
      <c r="E55" s="3" t="s">
        <v>55</v>
      </c>
      <c r="F55" s="19">
        <v>1686</v>
      </c>
      <c r="G55" s="19">
        <v>904</v>
      </c>
      <c r="H55" s="19">
        <v>472</v>
      </c>
      <c r="I55" s="19">
        <v>18546</v>
      </c>
      <c r="J55" s="19">
        <v>18171</v>
      </c>
      <c r="K55" s="19">
        <v>52</v>
      </c>
      <c r="L55" s="19">
        <f t="shared" si="0"/>
        <v>3062</v>
      </c>
      <c r="M55" s="4" t="s">
        <v>51</v>
      </c>
      <c r="N55" s="3" t="s">
        <v>51</v>
      </c>
      <c r="O55" s="3"/>
      <c r="P55" s="10"/>
      <c r="Q55" s="3" t="s">
        <v>23</v>
      </c>
      <c r="R55" s="75">
        <f t="shared" si="1"/>
        <v>0.16510298716704411</v>
      </c>
    </row>
    <row r="56" spans="1:18" x14ac:dyDescent="0.3">
      <c r="A56" s="3" t="s">
        <v>111</v>
      </c>
      <c r="B56" s="3" t="s">
        <v>38</v>
      </c>
      <c r="C56" s="10">
        <v>45460</v>
      </c>
      <c r="D56" s="3" t="s">
        <v>44</v>
      </c>
      <c r="E56" s="3" t="s">
        <v>49</v>
      </c>
      <c r="F56" s="19">
        <v>1226</v>
      </c>
      <c r="G56" s="19">
        <v>119</v>
      </c>
      <c r="H56" s="19">
        <v>7</v>
      </c>
      <c r="I56" s="19">
        <v>14712</v>
      </c>
      <c r="J56" s="19">
        <v>14049</v>
      </c>
      <c r="K56" s="19">
        <v>123</v>
      </c>
      <c r="L56" s="19">
        <f t="shared" si="0"/>
        <v>1352</v>
      </c>
      <c r="M56" s="4" t="s">
        <v>33</v>
      </c>
      <c r="N56" s="3" t="s">
        <v>33</v>
      </c>
      <c r="O56" s="3"/>
      <c r="P56" s="10"/>
      <c r="Q56" s="3" t="s">
        <v>34</v>
      </c>
      <c r="R56" s="75">
        <f t="shared" si="1"/>
        <v>9.1897770527460579E-2</v>
      </c>
    </row>
    <row r="57" spans="1:18" x14ac:dyDescent="0.3">
      <c r="A57" s="3" t="s">
        <v>112</v>
      </c>
      <c r="B57" s="3" t="s">
        <v>38</v>
      </c>
      <c r="C57" s="10">
        <v>45644</v>
      </c>
      <c r="D57" s="3" t="s">
        <v>39</v>
      </c>
      <c r="E57" s="3" t="s">
        <v>40</v>
      </c>
      <c r="F57" s="19">
        <v>2946</v>
      </c>
      <c r="G57" s="19">
        <v>498</v>
      </c>
      <c r="H57" s="19">
        <v>367</v>
      </c>
      <c r="I57" s="19">
        <v>29460</v>
      </c>
      <c r="J57" s="19">
        <v>28527</v>
      </c>
      <c r="K57" s="19">
        <v>60</v>
      </c>
      <c r="L57" s="19">
        <f t="shared" si="0"/>
        <v>3811</v>
      </c>
      <c r="M57" s="4" t="s">
        <v>51</v>
      </c>
      <c r="N57" s="3" t="s">
        <v>51</v>
      </c>
      <c r="O57" s="3"/>
      <c r="P57" s="10"/>
      <c r="Q57" s="3" t="s">
        <v>28</v>
      </c>
      <c r="R57" s="75">
        <f t="shared" si="1"/>
        <v>0.12936184657162253</v>
      </c>
    </row>
    <row r="58" spans="1:18" x14ac:dyDescent="0.3">
      <c r="A58" s="3" t="s">
        <v>113</v>
      </c>
      <c r="B58" s="3" t="s">
        <v>14</v>
      </c>
      <c r="C58" s="10">
        <v>45586</v>
      </c>
      <c r="D58" s="3" t="s">
        <v>59</v>
      </c>
      <c r="E58" s="3" t="s">
        <v>99</v>
      </c>
      <c r="F58" s="19">
        <v>2825</v>
      </c>
      <c r="G58" s="19">
        <v>535</v>
      </c>
      <c r="H58" s="19">
        <v>295</v>
      </c>
      <c r="I58" s="19">
        <v>45200</v>
      </c>
      <c r="J58" s="19">
        <v>44739</v>
      </c>
      <c r="K58" s="19">
        <v>169</v>
      </c>
      <c r="L58" s="19">
        <f t="shared" si="0"/>
        <v>3655</v>
      </c>
      <c r="M58" s="4" t="s">
        <v>27</v>
      </c>
      <c r="N58" s="3" t="s">
        <v>27</v>
      </c>
      <c r="O58" s="3"/>
      <c r="P58" s="10"/>
      <c r="Q58" s="3" t="s">
        <v>18</v>
      </c>
      <c r="R58" s="75">
        <f t="shared" si="1"/>
        <v>8.0862831858407078E-2</v>
      </c>
    </row>
    <row r="59" spans="1:18" x14ac:dyDescent="0.3">
      <c r="A59" s="3" t="s">
        <v>114</v>
      </c>
      <c r="B59" s="3" t="s">
        <v>30</v>
      </c>
      <c r="C59" s="10">
        <v>45762</v>
      </c>
      <c r="D59" s="3" t="s">
        <v>15</v>
      </c>
      <c r="E59" s="3" t="s">
        <v>64</v>
      </c>
      <c r="F59" s="19">
        <v>103</v>
      </c>
      <c r="G59" s="19">
        <v>770</v>
      </c>
      <c r="H59" s="19">
        <v>19</v>
      </c>
      <c r="I59" s="19">
        <v>1030</v>
      </c>
      <c r="J59" s="19">
        <v>410</v>
      </c>
      <c r="K59" s="19">
        <v>262</v>
      </c>
      <c r="L59" s="19">
        <f t="shared" si="0"/>
        <v>892</v>
      </c>
      <c r="M59" s="4" t="s">
        <v>27</v>
      </c>
      <c r="N59" s="3" t="s">
        <v>27</v>
      </c>
      <c r="O59" s="3"/>
      <c r="P59" s="10"/>
      <c r="Q59" s="3" t="s">
        <v>34</v>
      </c>
      <c r="R59" s="75">
        <f t="shared" si="1"/>
        <v>0.86601941747572819</v>
      </c>
    </row>
    <row r="60" spans="1:18" x14ac:dyDescent="0.3">
      <c r="A60" s="3" t="s">
        <v>115</v>
      </c>
      <c r="B60" s="3" t="s">
        <v>30</v>
      </c>
      <c r="C60" s="10">
        <v>45465</v>
      </c>
      <c r="D60" s="3" t="s">
        <v>20</v>
      </c>
      <c r="E60" s="3" t="s">
        <v>82</v>
      </c>
      <c r="F60" s="19">
        <v>2180</v>
      </c>
      <c r="G60" s="19">
        <v>263</v>
      </c>
      <c r="H60" s="19">
        <v>387</v>
      </c>
      <c r="I60" s="19">
        <v>30520</v>
      </c>
      <c r="J60" s="19">
        <v>30059</v>
      </c>
      <c r="K60" s="19">
        <v>174</v>
      </c>
      <c r="L60" s="19">
        <f t="shared" si="0"/>
        <v>2830</v>
      </c>
      <c r="M60" s="4" t="s">
        <v>33</v>
      </c>
      <c r="N60" s="3" t="s">
        <v>33</v>
      </c>
      <c r="O60" s="3"/>
      <c r="P60" s="10"/>
      <c r="Q60" s="3" t="s">
        <v>397</v>
      </c>
      <c r="R60" s="75">
        <f t="shared" si="1"/>
        <v>9.2726081258191345E-2</v>
      </c>
    </row>
    <row r="61" spans="1:18" x14ac:dyDescent="0.3">
      <c r="A61" s="3" t="s">
        <v>116</v>
      </c>
      <c r="B61" s="3" t="s">
        <v>30</v>
      </c>
      <c r="C61" s="10">
        <v>45685</v>
      </c>
      <c r="D61" s="3" t="s">
        <v>59</v>
      </c>
      <c r="E61" s="3" t="s">
        <v>66</v>
      </c>
      <c r="F61" s="19">
        <v>904</v>
      </c>
      <c r="G61" s="19">
        <v>973</v>
      </c>
      <c r="H61" s="19">
        <v>63</v>
      </c>
      <c r="I61" s="19">
        <v>11752</v>
      </c>
      <c r="J61" s="19">
        <v>11580</v>
      </c>
      <c r="K61" s="19">
        <v>84</v>
      </c>
      <c r="L61" s="19">
        <f t="shared" si="0"/>
        <v>1940</v>
      </c>
      <c r="M61" s="4" t="s">
        <v>117</v>
      </c>
      <c r="N61" s="3" t="s">
        <v>33</v>
      </c>
      <c r="O61" s="3" t="s">
        <v>27</v>
      </c>
      <c r="P61" s="10" t="s">
        <v>392</v>
      </c>
      <c r="Q61" s="3" t="s">
        <v>28</v>
      </c>
      <c r="R61" s="75">
        <f t="shared" si="1"/>
        <v>0.1650782845473111</v>
      </c>
    </row>
    <row r="62" spans="1:18" x14ac:dyDescent="0.3">
      <c r="A62" s="3" t="s">
        <v>118</v>
      </c>
      <c r="B62" s="3" t="s">
        <v>14</v>
      </c>
      <c r="C62" s="10">
        <v>45540</v>
      </c>
      <c r="D62" s="3" t="s">
        <v>59</v>
      </c>
      <c r="E62" s="3" t="s">
        <v>99</v>
      </c>
      <c r="F62" s="19">
        <v>4886</v>
      </c>
      <c r="G62" s="19">
        <v>983</v>
      </c>
      <c r="H62" s="19">
        <v>409</v>
      </c>
      <c r="I62" s="19">
        <v>43974</v>
      </c>
      <c r="J62" s="19">
        <v>43239</v>
      </c>
      <c r="K62" s="19">
        <v>65</v>
      </c>
      <c r="L62" s="19">
        <f t="shared" si="0"/>
        <v>6278</v>
      </c>
      <c r="M62" s="4" t="s">
        <v>27</v>
      </c>
      <c r="N62" s="3" t="s">
        <v>27</v>
      </c>
      <c r="O62" s="3"/>
      <c r="P62" s="10"/>
      <c r="Q62" s="3" t="s">
        <v>18</v>
      </c>
      <c r="R62" s="75">
        <f t="shared" si="1"/>
        <v>0.14276618001546368</v>
      </c>
    </row>
    <row r="63" spans="1:18" x14ac:dyDescent="0.3">
      <c r="A63" s="3" t="s">
        <v>119</v>
      </c>
      <c r="B63" s="3" t="s">
        <v>14</v>
      </c>
      <c r="C63" s="10">
        <v>45618</v>
      </c>
      <c r="D63" s="3" t="s">
        <v>39</v>
      </c>
      <c r="E63" s="3" t="s">
        <v>42</v>
      </c>
      <c r="F63" s="19">
        <v>53</v>
      </c>
      <c r="G63" s="19">
        <v>81</v>
      </c>
      <c r="H63" s="19">
        <v>379</v>
      </c>
      <c r="I63" s="19">
        <v>954</v>
      </c>
      <c r="J63" s="19">
        <v>7</v>
      </c>
      <c r="K63" s="19">
        <v>148</v>
      </c>
      <c r="L63" s="19">
        <f t="shared" si="0"/>
        <v>513</v>
      </c>
      <c r="M63" s="4" t="s">
        <v>27</v>
      </c>
      <c r="N63" s="3" t="s">
        <v>27</v>
      </c>
      <c r="O63" s="3"/>
      <c r="P63" s="10"/>
      <c r="Q63" s="3" t="s">
        <v>28</v>
      </c>
      <c r="R63" s="75">
        <f t="shared" si="1"/>
        <v>0.53773584905660377</v>
      </c>
    </row>
    <row r="64" spans="1:18" x14ac:dyDescent="0.3">
      <c r="A64" s="3" t="s">
        <v>120</v>
      </c>
      <c r="B64" s="3" t="s">
        <v>14</v>
      </c>
      <c r="C64" s="10">
        <v>45504</v>
      </c>
      <c r="D64" s="3" t="s">
        <v>39</v>
      </c>
      <c r="E64" s="3" t="s">
        <v>42</v>
      </c>
      <c r="F64" s="19">
        <v>4507</v>
      </c>
      <c r="G64" s="19">
        <v>217</v>
      </c>
      <c r="H64" s="19">
        <v>13</v>
      </c>
      <c r="I64" s="19">
        <v>90140</v>
      </c>
      <c r="J64" s="19">
        <v>89591</v>
      </c>
      <c r="K64" s="19">
        <v>125</v>
      </c>
      <c r="L64" s="19">
        <f t="shared" si="0"/>
        <v>4737</v>
      </c>
      <c r="M64" s="4" t="s">
        <v>51</v>
      </c>
      <c r="N64" s="3" t="s">
        <v>51</v>
      </c>
      <c r="O64" s="3"/>
      <c r="P64" s="10"/>
      <c r="Q64" s="3" t="s">
        <v>28</v>
      </c>
      <c r="R64" s="75">
        <f t="shared" si="1"/>
        <v>5.2551586421122697E-2</v>
      </c>
    </row>
    <row r="65" spans="1:18" x14ac:dyDescent="0.3">
      <c r="A65" s="3" t="s">
        <v>121</v>
      </c>
      <c r="B65" s="3" t="s">
        <v>38</v>
      </c>
      <c r="C65" s="10">
        <v>45521</v>
      </c>
      <c r="D65" s="3" t="s">
        <v>44</v>
      </c>
      <c r="E65" s="3" t="s">
        <v>49</v>
      </c>
      <c r="F65" s="19">
        <v>2878</v>
      </c>
      <c r="G65" s="19">
        <v>248</v>
      </c>
      <c r="H65" s="19">
        <v>416</v>
      </c>
      <c r="I65" s="19">
        <v>43170</v>
      </c>
      <c r="J65" s="19">
        <v>42667</v>
      </c>
      <c r="K65" s="19">
        <v>75</v>
      </c>
      <c r="L65" s="19">
        <f t="shared" si="0"/>
        <v>3542</v>
      </c>
      <c r="M65" s="4" t="s">
        <v>51</v>
      </c>
      <c r="N65" s="3" t="s">
        <v>51</v>
      </c>
      <c r="O65" s="3"/>
      <c r="P65" s="10"/>
      <c r="Q65" s="3" t="s">
        <v>28</v>
      </c>
      <c r="R65" s="75">
        <f t="shared" si="1"/>
        <v>8.2047718322909427E-2</v>
      </c>
    </row>
    <row r="66" spans="1:18" x14ac:dyDescent="0.3">
      <c r="A66" s="3" t="s">
        <v>122</v>
      </c>
      <c r="B66" s="3" t="s">
        <v>30</v>
      </c>
      <c r="C66" s="10">
        <v>45744</v>
      </c>
      <c r="D66" s="3" t="s">
        <v>31</v>
      </c>
      <c r="E66" s="3" t="s">
        <v>32</v>
      </c>
      <c r="F66" s="19">
        <v>1881</v>
      </c>
      <c r="G66" s="19">
        <v>501</v>
      </c>
      <c r="H66" s="19">
        <v>99</v>
      </c>
      <c r="I66" s="19">
        <v>20691</v>
      </c>
      <c r="J66" s="19">
        <v>19987</v>
      </c>
      <c r="K66" s="19">
        <v>289</v>
      </c>
      <c r="L66" s="19">
        <f t="shared" si="0"/>
        <v>2481</v>
      </c>
      <c r="M66" s="4" t="s">
        <v>33</v>
      </c>
      <c r="N66" s="3" t="s">
        <v>33</v>
      </c>
      <c r="O66" s="3"/>
      <c r="P66" s="10"/>
      <c r="Q66" s="3" t="s">
        <v>397</v>
      </c>
      <c r="R66" s="75">
        <f t="shared" si="1"/>
        <v>0.11990720603160794</v>
      </c>
    </row>
    <row r="67" spans="1:18" x14ac:dyDescent="0.3">
      <c r="A67" s="3" t="s">
        <v>123</v>
      </c>
      <c r="B67" s="3" t="s">
        <v>14</v>
      </c>
      <c r="C67" s="10">
        <v>45499</v>
      </c>
      <c r="D67" s="3" t="s">
        <v>39</v>
      </c>
      <c r="E67" s="3" t="s">
        <v>42</v>
      </c>
      <c r="F67" s="19">
        <v>432</v>
      </c>
      <c r="G67" s="19">
        <v>171</v>
      </c>
      <c r="H67" s="19">
        <v>280</v>
      </c>
      <c r="I67" s="19">
        <v>3024</v>
      </c>
      <c r="J67" s="19">
        <v>2285</v>
      </c>
      <c r="K67" s="19">
        <v>184</v>
      </c>
      <c r="L67" s="19">
        <f t="shared" ref="L67:L130" si="2">SUM($F67:$H67)</f>
        <v>883</v>
      </c>
      <c r="M67" s="4" t="s">
        <v>33</v>
      </c>
      <c r="N67" s="3" t="s">
        <v>33</v>
      </c>
      <c r="O67" s="3"/>
      <c r="P67" s="10"/>
      <c r="Q67" s="3" t="s">
        <v>18</v>
      </c>
      <c r="R67" s="75">
        <f t="shared" ref="R67:R130" si="3">SUM(F67:H67)/I67</f>
        <v>0.29199735449735448</v>
      </c>
    </row>
    <row r="68" spans="1:18" x14ac:dyDescent="0.3">
      <c r="A68" s="3" t="s">
        <v>124</v>
      </c>
      <c r="B68" s="3" t="s">
        <v>38</v>
      </c>
      <c r="C68" s="10">
        <v>45745</v>
      </c>
      <c r="D68" s="3" t="s">
        <v>39</v>
      </c>
      <c r="E68" s="3" t="s">
        <v>40</v>
      </c>
      <c r="F68" s="19">
        <v>4712</v>
      </c>
      <c r="G68" s="19">
        <v>568</v>
      </c>
      <c r="H68" s="19">
        <v>127</v>
      </c>
      <c r="I68" s="19">
        <v>84816</v>
      </c>
      <c r="J68" s="19">
        <v>84691</v>
      </c>
      <c r="K68" s="19">
        <v>100</v>
      </c>
      <c r="L68" s="19">
        <f t="shared" si="2"/>
        <v>5407</v>
      </c>
      <c r="M68" s="4" t="s">
        <v>33</v>
      </c>
      <c r="N68" s="3" t="s">
        <v>33</v>
      </c>
      <c r="O68" s="3"/>
      <c r="P68" s="10"/>
      <c r="Q68" s="3" t="s">
        <v>28</v>
      </c>
      <c r="R68" s="75">
        <f t="shared" si="3"/>
        <v>6.3749764195434822E-2</v>
      </c>
    </row>
    <row r="69" spans="1:18" x14ac:dyDescent="0.3">
      <c r="A69" s="3" t="s">
        <v>125</v>
      </c>
      <c r="B69" s="3" t="s">
        <v>30</v>
      </c>
      <c r="C69" s="10">
        <v>45634</v>
      </c>
      <c r="D69" s="3" t="s">
        <v>31</v>
      </c>
      <c r="E69" s="3" t="s">
        <v>32</v>
      </c>
      <c r="F69" s="19">
        <v>2610</v>
      </c>
      <c r="G69" s="19">
        <v>126</v>
      </c>
      <c r="H69" s="19">
        <v>288</v>
      </c>
      <c r="I69" s="19">
        <v>15660</v>
      </c>
      <c r="J69" s="19">
        <v>15145</v>
      </c>
      <c r="K69" s="19">
        <v>73</v>
      </c>
      <c r="L69" s="19">
        <f t="shared" si="2"/>
        <v>3024</v>
      </c>
      <c r="M69" s="4" t="s">
        <v>33</v>
      </c>
      <c r="N69" s="3" t="s">
        <v>33</v>
      </c>
      <c r="O69" s="3"/>
      <c r="P69" s="10"/>
      <c r="Q69" s="3" t="s">
        <v>397</v>
      </c>
      <c r="R69" s="75">
        <f t="shared" si="3"/>
        <v>0.19310344827586207</v>
      </c>
    </row>
    <row r="70" spans="1:18" x14ac:dyDescent="0.3">
      <c r="A70" s="3" t="s">
        <v>126</v>
      </c>
      <c r="B70" s="3" t="s">
        <v>14</v>
      </c>
      <c r="C70" s="10">
        <v>45724</v>
      </c>
      <c r="D70" s="3" t="s">
        <v>20</v>
      </c>
      <c r="E70" s="3" t="s">
        <v>21</v>
      </c>
      <c r="F70" s="19">
        <v>1292</v>
      </c>
      <c r="G70" s="19">
        <v>626</v>
      </c>
      <c r="H70" s="19">
        <v>496</v>
      </c>
      <c r="I70" s="19">
        <v>25840</v>
      </c>
      <c r="J70" s="19">
        <v>24916</v>
      </c>
      <c r="K70" s="19">
        <v>149</v>
      </c>
      <c r="L70" s="19">
        <f t="shared" si="2"/>
        <v>2414</v>
      </c>
      <c r="M70" s="4" t="s">
        <v>51</v>
      </c>
      <c r="N70" s="3" t="s">
        <v>51</v>
      </c>
      <c r="O70" s="3"/>
      <c r="P70" s="10"/>
      <c r="Q70" s="3" t="s">
        <v>28</v>
      </c>
      <c r="R70" s="75">
        <f t="shared" si="3"/>
        <v>9.3421052631578946E-2</v>
      </c>
    </row>
    <row r="71" spans="1:18" x14ac:dyDescent="0.3">
      <c r="A71" s="3" t="s">
        <v>127</v>
      </c>
      <c r="B71" s="3" t="s">
        <v>38</v>
      </c>
      <c r="C71" s="10">
        <v>45749</v>
      </c>
      <c r="D71" s="3" t="s">
        <v>59</v>
      </c>
      <c r="E71" s="3" t="s">
        <v>60</v>
      </c>
      <c r="F71" s="19">
        <v>199</v>
      </c>
      <c r="G71" s="19">
        <v>772</v>
      </c>
      <c r="H71" s="19">
        <v>400</v>
      </c>
      <c r="I71" s="19">
        <v>3582</v>
      </c>
      <c r="J71" s="19">
        <v>2988</v>
      </c>
      <c r="K71" s="19">
        <v>43</v>
      </c>
      <c r="L71" s="19">
        <f t="shared" si="2"/>
        <v>1371</v>
      </c>
      <c r="M71" s="4" t="s">
        <v>27</v>
      </c>
      <c r="N71" s="3" t="s">
        <v>27</v>
      </c>
      <c r="O71" s="3"/>
      <c r="P71" s="10"/>
      <c r="Q71" s="3" t="s">
        <v>397</v>
      </c>
      <c r="R71" s="75">
        <f t="shared" si="3"/>
        <v>0.38274706867671693</v>
      </c>
    </row>
    <row r="72" spans="1:18" x14ac:dyDescent="0.3">
      <c r="A72" s="3" t="s">
        <v>128</v>
      </c>
      <c r="B72" s="3" t="s">
        <v>25</v>
      </c>
      <c r="C72" s="10">
        <v>45537</v>
      </c>
      <c r="D72" s="3" t="s">
        <v>39</v>
      </c>
      <c r="E72" s="3" t="s">
        <v>55</v>
      </c>
      <c r="F72" s="19">
        <v>2551</v>
      </c>
      <c r="G72" s="19">
        <v>915</v>
      </c>
      <c r="H72" s="19">
        <v>205</v>
      </c>
      <c r="I72" s="19">
        <v>30612</v>
      </c>
      <c r="J72" s="19">
        <v>30360</v>
      </c>
      <c r="K72" s="19">
        <v>227</v>
      </c>
      <c r="L72" s="19">
        <f t="shared" si="2"/>
        <v>3671</v>
      </c>
      <c r="M72" s="4" t="s">
        <v>27</v>
      </c>
      <c r="N72" s="3" t="s">
        <v>27</v>
      </c>
      <c r="O72" s="3"/>
      <c r="P72" s="10"/>
      <c r="Q72" s="3" t="s">
        <v>23</v>
      </c>
      <c r="R72" s="75">
        <f t="shared" si="3"/>
        <v>0.1199202926956749</v>
      </c>
    </row>
    <row r="73" spans="1:18" x14ac:dyDescent="0.3">
      <c r="A73" s="3" t="s">
        <v>129</v>
      </c>
      <c r="B73" s="3" t="s">
        <v>25</v>
      </c>
      <c r="C73" s="10">
        <v>45719</v>
      </c>
      <c r="D73" s="3" t="s">
        <v>15</v>
      </c>
      <c r="E73" s="3" t="s">
        <v>26</v>
      </c>
      <c r="F73" s="19">
        <v>296</v>
      </c>
      <c r="G73" s="19">
        <v>60</v>
      </c>
      <c r="H73" s="19">
        <v>141</v>
      </c>
      <c r="I73" s="19">
        <v>5624</v>
      </c>
      <c r="J73" s="19">
        <v>5239</v>
      </c>
      <c r="K73" s="19">
        <v>88</v>
      </c>
      <c r="L73" s="19">
        <f t="shared" si="2"/>
        <v>497</v>
      </c>
      <c r="M73" s="4" t="s">
        <v>33</v>
      </c>
      <c r="N73" s="3" t="s">
        <v>33</v>
      </c>
      <c r="O73" s="3"/>
      <c r="P73" s="10"/>
      <c r="Q73" s="3" t="s">
        <v>23</v>
      </c>
      <c r="R73" s="75">
        <f t="shared" si="3"/>
        <v>8.837126600284495E-2</v>
      </c>
    </row>
    <row r="74" spans="1:18" x14ac:dyDescent="0.3">
      <c r="A74" s="3" t="s">
        <v>130</v>
      </c>
      <c r="B74" s="3" t="s">
        <v>38</v>
      </c>
      <c r="C74" s="10">
        <v>45583</v>
      </c>
      <c r="D74" s="3" t="s">
        <v>31</v>
      </c>
      <c r="E74" s="3" t="s">
        <v>57</v>
      </c>
      <c r="F74" s="19">
        <v>4126</v>
      </c>
      <c r="G74" s="19">
        <v>426</v>
      </c>
      <c r="H74" s="19">
        <v>486</v>
      </c>
      <c r="I74" s="19">
        <v>78394</v>
      </c>
      <c r="J74" s="19">
        <v>77798</v>
      </c>
      <c r="K74" s="19">
        <v>88</v>
      </c>
      <c r="L74" s="19">
        <f t="shared" si="2"/>
        <v>5038</v>
      </c>
      <c r="M74" s="4" t="s">
        <v>51</v>
      </c>
      <c r="N74" s="3" t="s">
        <v>51</v>
      </c>
      <c r="O74" s="3"/>
      <c r="P74" s="10"/>
      <c r="Q74" s="3" t="s">
        <v>34</v>
      </c>
      <c r="R74" s="75">
        <f t="shared" si="3"/>
        <v>6.4265122330790625E-2</v>
      </c>
    </row>
    <row r="75" spans="1:18" x14ac:dyDescent="0.3">
      <c r="A75" s="3" t="s">
        <v>131</v>
      </c>
      <c r="B75" s="3" t="s">
        <v>25</v>
      </c>
      <c r="C75" s="10">
        <v>45593</v>
      </c>
      <c r="D75" s="3" t="s">
        <v>15</v>
      </c>
      <c r="E75" s="3" t="s">
        <v>26</v>
      </c>
      <c r="F75" s="19">
        <v>1855</v>
      </c>
      <c r="G75" s="19">
        <v>200</v>
      </c>
      <c r="H75" s="19">
        <v>174</v>
      </c>
      <c r="I75" s="19">
        <v>16695</v>
      </c>
      <c r="J75" s="19">
        <v>16330</v>
      </c>
      <c r="K75" s="19">
        <v>123</v>
      </c>
      <c r="L75" s="19">
        <f t="shared" si="2"/>
        <v>2229</v>
      </c>
      <c r="M75" s="4" t="s">
        <v>27</v>
      </c>
      <c r="N75" s="3" t="s">
        <v>27</v>
      </c>
      <c r="O75" s="3"/>
      <c r="P75" s="10"/>
      <c r="Q75" s="3" t="s">
        <v>28</v>
      </c>
      <c r="R75" s="75">
        <f t="shared" si="3"/>
        <v>0.13351302785265048</v>
      </c>
    </row>
    <row r="76" spans="1:18" x14ac:dyDescent="0.3">
      <c r="A76" s="3" t="s">
        <v>132</v>
      </c>
      <c r="B76" s="3" t="s">
        <v>30</v>
      </c>
      <c r="C76" s="10">
        <v>45505</v>
      </c>
      <c r="D76" s="3" t="s">
        <v>15</v>
      </c>
      <c r="E76" s="3" t="s">
        <v>64</v>
      </c>
      <c r="F76" s="19">
        <v>1674</v>
      </c>
      <c r="G76" s="19">
        <v>929</v>
      </c>
      <c r="H76" s="19">
        <v>37</v>
      </c>
      <c r="I76" s="19">
        <v>21762</v>
      </c>
      <c r="J76" s="19">
        <v>20998</v>
      </c>
      <c r="K76" s="19">
        <v>255</v>
      </c>
      <c r="L76" s="19">
        <f t="shared" si="2"/>
        <v>2640</v>
      </c>
      <c r="M76" s="4" t="s">
        <v>27</v>
      </c>
      <c r="N76" s="3" t="s">
        <v>27</v>
      </c>
      <c r="O76" s="3"/>
      <c r="P76" s="10"/>
      <c r="Q76" s="3" t="s">
        <v>34</v>
      </c>
      <c r="R76" s="75">
        <f t="shared" si="3"/>
        <v>0.12131237937689551</v>
      </c>
    </row>
    <row r="77" spans="1:18" x14ac:dyDescent="0.3">
      <c r="A77" s="3" t="s">
        <v>133</v>
      </c>
      <c r="B77" s="3" t="s">
        <v>14</v>
      </c>
      <c r="C77" s="10">
        <v>45603</v>
      </c>
      <c r="D77" s="3" t="s">
        <v>31</v>
      </c>
      <c r="E77" s="3" t="s">
        <v>102</v>
      </c>
      <c r="F77" s="19">
        <v>1121</v>
      </c>
      <c r="G77" s="19">
        <v>135</v>
      </c>
      <c r="H77" s="19">
        <v>18</v>
      </c>
      <c r="I77" s="19">
        <v>15694</v>
      </c>
      <c r="J77" s="19">
        <v>14957</v>
      </c>
      <c r="K77" s="19">
        <v>99</v>
      </c>
      <c r="L77" s="19">
        <f t="shared" si="2"/>
        <v>1274</v>
      </c>
      <c r="M77" s="4" t="s">
        <v>27</v>
      </c>
      <c r="N77" s="3" t="s">
        <v>27</v>
      </c>
      <c r="O77" s="3"/>
      <c r="P77" s="10"/>
      <c r="Q77" s="3" t="s">
        <v>34</v>
      </c>
      <c r="R77" s="75">
        <f t="shared" si="3"/>
        <v>8.1177520071364848E-2</v>
      </c>
    </row>
    <row r="78" spans="1:18" x14ac:dyDescent="0.3">
      <c r="A78" s="3" t="s">
        <v>134</v>
      </c>
      <c r="B78" s="3" t="s">
        <v>38</v>
      </c>
      <c r="C78" s="10">
        <v>45720</v>
      </c>
      <c r="D78" s="3" t="s">
        <v>31</v>
      </c>
      <c r="E78" s="3" t="s">
        <v>57</v>
      </c>
      <c r="F78" s="19">
        <v>1249</v>
      </c>
      <c r="G78" s="19">
        <v>116</v>
      </c>
      <c r="H78" s="19">
        <v>420</v>
      </c>
      <c r="I78" s="19">
        <v>8743</v>
      </c>
      <c r="J78" s="19">
        <v>8538</v>
      </c>
      <c r="K78" s="19">
        <v>63</v>
      </c>
      <c r="L78" s="19">
        <f t="shared" si="2"/>
        <v>1785</v>
      </c>
      <c r="M78" s="4" t="s">
        <v>27</v>
      </c>
      <c r="N78" s="3" t="s">
        <v>27</v>
      </c>
      <c r="O78" s="3"/>
      <c r="P78" s="10"/>
      <c r="Q78" s="3" t="s">
        <v>397</v>
      </c>
      <c r="R78" s="75">
        <f t="shared" si="3"/>
        <v>0.20416333066453163</v>
      </c>
    </row>
    <row r="79" spans="1:18" x14ac:dyDescent="0.3">
      <c r="A79" s="3" t="s">
        <v>135</v>
      </c>
      <c r="B79" s="3" t="s">
        <v>14</v>
      </c>
      <c r="C79" s="10">
        <v>45460</v>
      </c>
      <c r="D79" s="3" t="s">
        <v>44</v>
      </c>
      <c r="E79" s="3" t="s">
        <v>92</v>
      </c>
      <c r="F79" s="19">
        <v>954</v>
      </c>
      <c r="G79" s="19">
        <v>324</v>
      </c>
      <c r="H79" s="19">
        <v>288</v>
      </c>
      <c r="I79" s="19">
        <v>19080</v>
      </c>
      <c r="J79" s="19">
        <v>18859</v>
      </c>
      <c r="K79" s="19">
        <v>21</v>
      </c>
      <c r="L79" s="19">
        <f t="shared" si="2"/>
        <v>1566</v>
      </c>
      <c r="M79" s="4" t="s">
        <v>51</v>
      </c>
      <c r="N79" s="3" t="s">
        <v>51</v>
      </c>
      <c r="O79" s="3"/>
      <c r="P79" s="10"/>
      <c r="Q79" s="3" t="s">
        <v>34</v>
      </c>
      <c r="R79" s="75">
        <f t="shared" si="3"/>
        <v>8.2075471698113203E-2</v>
      </c>
    </row>
    <row r="80" spans="1:18" x14ac:dyDescent="0.3">
      <c r="A80" s="3" t="s">
        <v>136</v>
      </c>
      <c r="B80" s="3" t="s">
        <v>30</v>
      </c>
      <c r="C80" s="10">
        <v>45574</v>
      </c>
      <c r="D80" s="3" t="s">
        <v>39</v>
      </c>
      <c r="E80" s="3" t="s">
        <v>68</v>
      </c>
      <c r="F80" s="19">
        <v>3068</v>
      </c>
      <c r="G80" s="19">
        <v>137</v>
      </c>
      <c r="H80" s="19">
        <v>329</v>
      </c>
      <c r="I80" s="19">
        <v>39884</v>
      </c>
      <c r="J80" s="19">
        <v>39404</v>
      </c>
      <c r="K80" s="19">
        <v>266</v>
      </c>
      <c r="L80" s="19">
        <f t="shared" si="2"/>
        <v>3534</v>
      </c>
      <c r="M80" s="4" t="s">
        <v>33</v>
      </c>
      <c r="N80" s="3" t="s">
        <v>33</v>
      </c>
      <c r="O80" s="3"/>
      <c r="P80" s="10"/>
      <c r="Q80" s="3" t="s">
        <v>23</v>
      </c>
      <c r="R80" s="75">
        <f t="shared" si="3"/>
        <v>8.860696018453515E-2</v>
      </c>
    </row>
    <row r="81" spans="1:18" x14ac:dyDescent="0.3">
      <c r="A81" s="3" t="s">
        <v>137</v>
      </c>
      <c r="B81" s="3" t="s">
        <v>30</v>
      </c>
      <c r="C81" s="10">
        <v>45456</v>
      </c>
      <c r="D81" s="3" t="s">
        <v>31</v>
      </c>
      <c r="E81" s="3" t="s">
        <v>32</v>
      </c>
      <c r="F81" s="19">
        <v>2103</v>
      </c>
      <c r="G81" s="19">
        <v>892</v>
      </c>
      <c r="H81" s="19">
        <v>103</v>
      </c>
      <c r="I81" s="19">
        <v>39957</v>
      </c>
      <c r="J81" s="19">
        <v>39466</v>
      </c>
      <c r="K81" s="19">
        <v>28</v>
      </c>
      <c r="L81" s="19">
        <f t="shared" si="2"/>
        <v>3098</v>
      </c>
      <c r="M81" s="4" t="s">
        <v>51</v>
      </c>
      <c r="N81" s="3" t="s">
        <v>51</v>
      </c>
      <c r="O81" s="3"/>
      <c r="P81" s="10"/>
      <c r="Q81" s="3" t="s">
        <v>397</v>
      </c>
      <c r="R81" s="75">
        <f t="shared" si="3"/>
        <v>7.7533348349475686E-2</v>
      </c>
    </row>
    <row r="82" spans="1:18" x14ac:dyDescent="0.3">
      <c r="A82" s="3" t="s">
        <v>138</v>
      </c>
      <c r="B82" s="3" t="s">
        <v>30</v>
      </c>
      <c r="C82" s="10">
        <v>45584</v>
      </c>
      <c r="D82" s="3" t="s">
        <v>31</v>
      </c>
      <c r="E82" s="3" t="s">
        <v>32</v>
      </c>
      <c r="F82" s="19">
        <v>1816</v>
      </c>
      <c r="G82" s="19">
        <v>29</v>
      </c>
      <c r="H82" s="19">
        <v>41</v>
      </c>
      <c r="I82" s="19">
        <v>19976</v>
      </c>
      <c r="J82" s="19">
        <v>19262</v>
      </c>
      <c r="K82" s="19">
        <v>283</v>
      </c>
      <c r="L82" s="19">
        <f t="shared" si="2"/>
        <v>1886</v>
      </c>
      <c r="M82" s="4" t="s">
        <v>27</v>
      </c>
      <c r="N82" s="3" t="s">
        <v>27</v>
      </c>
      <c r="O82" s="3"/>
      <c r="P82" s="10"/>
      <c r="Q82" s="3" t="s">
        <v>28</v>
      </c>
      <c r="R82" s="75">
        <f t="shared" si="3"/>
        <v>9.4413295955146179E-2</v>
      </c>
    </row>
    <row r="83" spans="1:18" x14ac:dyDescent="0.3">
      <c r="A83" s="3" t="s">
        <v>139</v>
      </c>
      <c r="B83" s="3" t="s">
        <v>30</v>
      </c>
      <c r="C83" s="10">
        <v>45497</v>
      </c>
      <c r="D83" s="3" t="s">
        <v>44</v>
      </c>
      <c r="E83" s="3" t="s">
        <v>140</v>
      </c>
      <c r="F83" s="19">
        <v>725</v>
      </c>
      <c r="G83" s="19">
        <v>88</v>
      </c>
      <c r="H83" s="19">
        <v>428</v>
      </c>
      <c r="I83" s="19">
        <v>14500</v>
      </c>
      <c r="J83" s="19">
        <v>13637</v>
      </c>
      <c r="K83" s="19">
        <v>200</v>
      </c>
      <c r="L83" s="19">
        <f t="shared" si="2"/>
        <v>1241</v>
      </c>
      <c r="M83" s="4" t="s">
        <v>141</v>
      </c>
      <c r="N83" s="3" t="s">
        <v>51</v>
      </c>
      <c r="O83" s="3" t="s">
        <v>27</v>
      </c>
      <c r="P83" s="10" t="s">
        <v>392</v>
      </c>
      <c r="Q83" s="3" t="s">
        <v>28</v>
      </c>
      <c r="R83" s="75">
        <f t="shared" si="3"/>
        <v>8.558620689655172E-2</v>
      </c>
    </row>
    <row r="84" spans="1:18" x14ac:dyDescent="0.3">
      <c r="A84" s="3" t="s">
        <v>142</v>
      </c>
      <c r="B84" s="3" t="s">
        <v>25</v>
      </c>
      <c r="C84" s="10">
        <v>45580</v>
      </c>
      <c r="D84" s="3" t="s">
        <v>59</v>
      </c>
      <c r="E84" s="3" t="s">
        <v>143</v>
      </c>
      <c r="F84" s="19">
        <v>1094</v>
      </c>
      <c r="G84" s="19">
        <v>472</v>
      </c>
      <c r="H84" s="19">
        <v>21</v>
      </c>
      <c r="I84" s="19">
        <v>9846</v>
      </c>
      <c r="J84" s="19">
        <v>9609</v>
      </c>
      <c r="K84" s="19">
        <v>112</v>
      </c>
      <c r="L84" s="19">
        <f t="shared" si="2"/>
        <v>1587</v>
      </c>
      <c r="M84" s="4" t="s">
        <v>33</v>
      </c>
      <c r="N84" s="3" t="s">
        <v>33</v>
      </c>
      <c r="O84" s="3"/>
      <c r="P84" s="10"/>
      <c r="Q84" s="3" t="s">
        <v>397</v>
      </c>
      <c r="R84" s="75">
        <f t="shared" si="3"/>
        <v>0.16118220597196831</v>
      </c>
    </row>
    <row r="85" spans="1:18" x14ac:dyDescent="0.3">
      <c r="A85" s="3" t="s">
        <v>144</v>
      </c>
      <c r="B85" s="3" t="s">
        <v>38</v>
      </c>
      <c r="C85" s="10">
        <v>45635</v>
      </c>
      <c r="D85" s="3" t="s">
        <v>44</v>
      </c>
      <c r="E85" s="3" t="s">
        <v>49</v>
      </c>
      <c r="F85" s="19">
        <v>1841</v>
      </c>
      <c r="G85" s="19">
        <v>851</v>
      </c>
      <c r="H85" s="19">
        <v>342</v>
      </c>
      <c r="I85" s="19">
        <v>34979</v>
      </c>
      <c r="J85" s="19">
        <v>34154</v>
      </c>
      <c r="K85" s="19">
        <v>255</v>
      </c>
      <c r="L85" s="19">
        <f t="shared" si="2"/>
        <v>3034</v>
      </c>
      <c r="M85" s="4" t="s">
        <v>51</v>
      </c>
      <c r="N85" s="3" t="s">
        <v>51</v>
      </c>
      <c r="O85" s="3"/>
      <c r="P85" s="10"/>
      <c r="Q85" s="3" t="s">
        <v>34</v>
      </c>
      <c r="R85" s="75">
        <f t="shared" si="3"/>
        <v>8.6737756939878216E-2</v>
      </c>
    </row>
    <row r="86" spans="1:18" x14ac:dyDescent="0.3">
      <c r="A86" s="3" t="s">
        <v>145</v>
      </c>
      <c r="B86" s="3" t="s">
        <v>30</v>
      </c>
      <c r="C86" s="10">
        <v>45766</v>
      </c>
      <c r="D86" s="3" t="s">
        <v>44</v>
      </c>
      <c r="E86" s="3" t="s">
        <v>140</v>
      </c>
      <c r="F86" s="19">
        <v>4177</v>
      </c>
      <c r="G86" s="19">
        <v>569</v>
      </c>
      <c r="H86" s="19">
        <v>55</v>
      </c>
      <c r="I86" s="19">
        <v>25062</v>
      </c>
      <c r="J86" s="19">
        <v>24847</v>
      </c>
      <c r="K86" s="19">
        <v>230</v>
      </c>
      <c r="L86" s="19">
        <f t="shared" si="2"/>
        <v>4801</v>
      </c>
      <c r="M86" s="4" t="s">
        <v>51</v>
      </c>
      <c r="N86" s="3" t="s">
        <v>51</v>
      </c>
      <c r="O86" s="3"/>
      <c r="P86" s="10"/>
      <c r="Q86" s="3" t="s">
        <v>18</v>
      </c>
      <c r="R86" s="75">
        <f t="shared" si="3"/>
        <v>0.19156491900087783</v>
      </c>
    </row>
    <row r="87" spans="1:18" x14ac:dyDescent="0.3">
      <c r="A87" s="3" t="s">
        <v>146</v>
      </c>
      <c r="B87" s="3" t="s">
        <v>25</v>
      </c>
      <c r="C87" s="10">
        <v>45684</v>
      </c>
      <c r="D87" s="3" t="s">
        <v>20</v>
      </c>
      <c r="E87" s="3" t="s">
        <v>77</v>
      </c>
      <c r="F87" s="19">
        <v>3428</v>
      </c>
      <c r="G87" s="19">
        <v>305</v>
      </c>
      <c r="H87" s="19">
        <v>85</v>
      </c>
      <c r="I87" s="19">
        <v>58276</v>
      </c>
      <c r="J87" s="19">
        <v>58052</v>
      </c>
      <c r="K87" s="19">
        <v>242</v>
      </c>
      <c r="L87" s="19">
        <f t="shared" si="2"/>
        <v>3818</v>
      </c>
      <c r="M87" s="4" t="s">
        <v>109</v>
      </c>
      <c r="N87" s="3" t="s">
        <v>33</v>
      </c>
      <c r="O87" s="3" t="s">
        <v>393</v>
      </c>
      <c r="P87" s="10"/>
      <c r="Q87" s="3" t="s">
        <v>34</v>
      </c>
      <c r="R87" s="75">
        <f t="shared" si="3"/>
        <v>6.5515821264328367E-2</v>
      </c>
    </row>
    <row r="88" spans="1:18" x14ac:dyDescent="0.3">
      <c r="A88" s="3" t="s">
        <v>147</v>
      </c>
      <c r="B88" s="3" t="s">
        <v>14</v>
      </c>
      <c r="C88" s="10">
        <v>45449</v>
      </c>
      <c r="D88" s="3" t="s">
        <v>59</v>
      </c>
      <c r="E88" s="3" t="s">
        <v>99</v>
      </c>
      <c r="F88" s="19">
        <v>1436</v>
      </c>
      <c r="G88" s="19">
        <v>765</v>
      </c>
      <c r="H88" s="19">
        <v>496</v>
      </c>
      <c r="I88" s="19">
        <v>12924</v>
      </c>
      <c r="J88" s="19">
        <v>12701</v>
      </c>
      <c r="K88" s="19">
        <v>197</v>
      </c>
      <c r="L88" s="19">
        <f t="shared" si="2"/>
        <v>2697</v>
      </c>
      <c r="M88" s="4" t="s">
        <v>51</v>
      </c>
      <c r="N88" s="3" t="s">
        <v>51</v>
      </c>
      <c r="O88" s="3"/>
      <c r="P88" s="10"/>
      <c r="Q88" s="3" t="s">
        <v>28</v>
      </c>
      <c r="R88" s="75">
        <f t="shared" si="3"/>
        <v>0.20868152274837512</v>
      </c>
    </row>
    <row r="89" spans="1:18" x14ac:dyDescent="0.3">
      <c r="A89" s="3" t="s">
        <v>148</v>
      </c>
      <c r="B89" s="3" t="s">
        <v>38</v>
      </c>
      <c r="C89" s="10">
        <v>45480</v>
      </c>
      <c r="D89" s="3" t="s">
        <v>31</v>
      </c>
      <c r="E89" s="3" t="s">
        <v>57</v>
      </c>
      <c r="F89" s="19">
        <v>302</v>
      </c>
      <c r="G89" s="19">
        <v>47</v>
      </c>
      <c r="H89" s="19">
        <v>430</v>
      </c>
      <c r="I89" s="19">
        <v>5738</v>
      </c>
      <c r="J89" s="19">
        <v>4890</v>
      </c>
      <c r="K89" s="19">
        <v>25</v>
      </c>
      <c r="L89" s="19">
        <f t="shared" si="2"/>
        <v>779</v>
      </c>
      <c r="M89" s="4" t="s">
        <v>27</v>
      </c>
      <c r="N89" s="3" t="s">
        <v>27</v>
      </c>
      <c r="O89" s="3"/>
      <c r="P89" s="10"/>
      <c r="Q89" s="3" t="s">
        <v>34</v>
      </c>
      <c r="R89" s="75">
        <f t="shared" si="3"/>
        <v>0.13576158940397351</v>
      </c>
    </row>
    <row r="90" spans="1:18" x14ac:dyDescent="0.3">
      <c r="A90" s="3" t="s">
        <v>149</v>
      </c>
      <c r="B90" s="3" t="s">
        <v>14</v>
      </c>
      <c r="C90" s="10">
        <v>45667</v>
      </c>
      <c r="D90" s="3" t="s">
        <v>44</v>
      </c>
      <c r="E90" s="3" t="s">
        <v>92</v>
      </c>
      <c r="F90" s="19">
        <v>2214</v>
      </c>
      <c r="G90" s="19">
        <v>249</v>
      </c>
      <c r="H90" s="19">
        <v>152</v>
      </c>
      <c r="I90" s="19">
        <v>15498</v>
      </c>
      <c r="J90" s="19">
        <v>14800</v>
      </c>
      <c r="K90" s="19">
        <v>180</v>
      </c>
      <c r="L90" s="19">
        <f t="shared" si="2"/>
        <v>2615</v>
      </c>
      <c r="M90" s="4" t="s">
        <v>33</v>
      </c>
      <c r="N90" s="3" t="s">
        <v>33</v>
      </c>
      <c r="O90" s="3"/>
      <c r="P90" s="10"/>
      <c r="Q90" s="3" t="s">
        <v>397</v>
      </c>
      <c r="R90" s="75">
        <f t="shared" si="3"/>
        <v>0.16873144921925409</v>
      </c>
    </row>
    <row r="91" spans="1:18" x14ac:dyDescent="0.3">
      <c r="A91" s="3" t="s">
        <v>150</v>
      </c>
      <c r="B91" s="3" t="s">
        <v>30</v>
      </c>
      <c r="C91" s="10">
        <v>45446</v>
      </c>
      <c r="D91" s="3" t="s">
        <v>44</v>
      </c>
      <c r="E91" s="3" t="s">
        <v>140</v>
      </c>
      <c r="F91" s="19">
        <v>3861</v>
      </c>
      <c r="G91" s="19">
        <v>960</v>
      </c>
      <c r="H91" s="19">
        <v>101</v>
      </c>
      <c r="I91" s="19">
        <v>69498</v>
      </c>
      <c r="J91" s="19">
        <v>68817</v>
      </c>
      <c r="K91" s="19">
        <v>297</v>
      </c>
      <c r="L91" s="19">
        <f t="shared" si="2"/>
        <v>4922</v>
      </c>
      <c r="M91" s="4" t="s">
        <v>27</v>
      </c>
      <c r="N91" s="3" t="s">
        <v>27</v>
      </c>
      <c r="O91" s="3"/>
      <c r="P91" s="10"/>
      <c r="Q91" s="3" t="s">
        <v>34</v>
      </c>
      <c r="R91" s="75">
        <f t="shared" si="3"/>
        <v>7.0822181933293038E-2</v>
      </c>
    </row>
    <row r="92" spans="1:18" x14ac:dyDescent="0.3">
      <c r="A92" s="3" t="s">
        <v>151</v>
      </c>
      <c r="B92" s="3" t="s">
        <v>38</v>
      </c>
      <c r="C92" s="10">
        <v>45740</v>
      </c>
      <c r="D92" s="3" t="s">
        <v>44</v>
      </c>
      <c r="E92" s="3" t="s">
        <v>49</v>
      </c>
      <c r="F92" s="19">
        <v>1263</v>
      </c>
      <c r="G92" s="19">
        <v>397</v>
      </c>
      <c r="H92" s="19">
        <v>357</v>
      </c>
      <c r="I92" s="19">
        <v>25260</v>
      </c>
      <c r="J92" s="19">
        <v>24615</v>
      </c>
      <c r="K92" s="19">
        <v>137</v>
      </c>
      <c r="L92" s="19">
        <f t="shared" si="2"/>
        <v>2017</v>
      </c>
      <c r="M92" s="4" t="s">
        <v>33</v>
      </c>
      <c r="N92" s="3" t="s">
        <v>33</v>
      </c>
      <c r="O92" s="3"/>
      <c r="P92" s="10"/>
      <c r="Q92" s="3" t="s">
        <v>34</v>
      </c>
      <c r="R92" s="75">
        <f t="shared" si="3"/>
        <v>7.984956452889945E-2</v>
      </c>
    </row>
    <row r="93" spans="1:18" x14ac:dyDescent="0.3">
      <c r="A93" s="3" t="s">
        <v>152</v>
      </c>
      <c r="B93" s="3" t="s">
        <v>14</v>
      </c>
      <c r="C93" s="10">
        <v>45586</v>
      </c>
      <c r="D93" s="3" t="s">
        <v>31</v>
      </c>
      <c r="E93" s="3" t="s">
        <v>102</v>
      </c>
      <c r="F93" s="19">
        <v>3801</v>
      </c>
      <c r="G93" s="19">
        <v>967</v>
      </c>
      <c r="H93" s="19">
        <v>401</v>
      </c>
      <c r="I93" s="19">
        <v>38010</v>
      </c>
      <c r="J93" s="19">
        <v>37625</v>
      </c>
      <c r="K93" s="19">
        <v>236</v>
      </c>
      <c r="L93" s="19">
        <f t="shared" si="2"/>
        <v>5169</v>
      </c>
      <c r="M93" s="4" t="s">
        <v>51</v>
      </c>
      <c r="N93" s="3" t="s">
        <v>51</v>
      </c>
      <c r="O93" s="3"/>
      <c r="P93" s="10"/>
      <c r="Q93" s="3" t="s">
        <v>28</v>
      </c>
      <c r="R93" s="75">
        <f t="shared" si="3"/>
        <v>0.13599052880820836</v>
      </c>
    </row>
    <row r="94" spans="1:18" x14ac:dyDescent="0.3">
      <c r="A94" s="3" t="s">
        <v>153</v>
      </c>
      <c r="B94" s="3" t="s">
        <v>30</v>
      </c>
      <c r="C94" s="10">
        <v>45637</v>
      </c>
      <c r="D94" s="3" t="s">
        <v>59</v>
      </c>
      <c r="E94" s="3" t="s">
        <v>66</v>
      </c>
      <c r="F94" s="19">
        <v>1431</v>
      </c>
      <c r="G94" s="19">
        <v>951</v>
      </c>
      <c r="H94" s="19">
        <v>26</v>
      </c>
      <c r="I94" s="19">
        <v>8586</v>
      </c>
      <c r="J94" s="19">
        <v>8396</v>
      </c>
      <c r="K94" s="19">
        <v>150</v>
      </c>
      <c r="L94" s="19">
        <f t="shared" si="2"/>
        <v>2408</v>
      </c>
      <c r="M94" s="4" t="s">
        <v>33</v>
      </c>
      <c r="N94" s="3" t="s">
        <v>33</v>
      </c>
      <c r="O94" s="3"/>
      <c r="P94" s="10"/>
      <c r="Q94" s="3" t="s">
        <v>28</v>
      </c>
      <c r="R94" s="75">
        <f t="shared" si="3"/>
        <v>0.28045655718611695</v>
      </c>
    </row>
    <row r="95" spans="1:18" x14ac:dyDescent="0.3">
      <c r="A95" s="3" t="s">
        <v>154</v>
      </c>
      <c r="B95" s="3" t="s">
        <v>30</v>
      </c>
      <c r="C95" s="10">
        <v>45603</v>
      </c>
      <c r="D95" s="3" t="s">
        <v>44</v>
      </c>
      <c r="E95" s="3" t="s">
        <v>140</v>
      </c>
      <c r="F95" s="19">
        <v>2647</v>
      </c>
      <c r="G95" s="19">
        <v>304</v>
      </c>
      <c r="H95" s="19">
        <v>170</v>
      </c>
      <c r="I95" s="19">
        <v>18529</v>
      </c>
      <c r="J95" s="19">
        <v>17841</v>
      </c>
      <c r="K95" s="19">
        <v>46</v>
      </c>
      <c r="L95" s="19">
        <f t="shared" si="2"/>
        <v>3121</v>
      </c>
      <c r="M95" s="4" t="s">
        <v>51</v>
      </c>
      <c r="N95" s="3" t="s">
        <v>51</v>
      </c>
      <c r="O95" s="3"/>
      <c r="P95" s="10"/>
      <c r="Q95" s="3" t="s">
        <v>28</v>
      </c>
      <c r="R95" s="75">
        <f t="shared" si="3"/>
        <v>0.16843866371633656</v>
      </c>
    </row>
    <row r="96" spans="1:18" x14ac:dyDescent="0.3">
      <c r="A96" s="3" t="s">
        <v>155</v>
      </c>
      <c r="B96" s="3" t="s">
        <v>30</v>
      </c>
      <c r="C96" s="10">
        <v>45604</v>
      </c>
      <c r="D96" s="3" t="s">
        <v>20</v>
      </c>
      <c r="E96" s="3" t="s">
        <v>82</v>
      </c>
      <c r="F96" s="19">
        <v>3182</v>
      </c>
      <c r="G96" s="19">
        <v>559</v>
      </c>
      <c r="H96" s="19">
        <v>160</v>
      </c>
      <c r="I96" s="19">
        <v>57276</v>
      </c>
      <c r="J96" s="19">
        <v>56890</v>
      </c>
      <c r="K96" s="19">
        <v>163</v>
      </c>
      <c r="L96" s="19">
        <f t="shared" si="2"/>
        <v>3901</v>
      </c>
      <c r="M96" s="4" t="s">
        <v>51</v>
      </c>
      <c r="N96" s="3" t="s">
        <v>51</v>
      </c>
      <c r="O96" s="3"/>
      <c r="P96" s="10"/>
      <c r="Q96" s="3" t="s">
        <v>34</v>
      </c>
      <c r="R96" s="75">
        <f t="shared" si="3"/>
        <v>6.8108806480899509E-2</v>
      </c>
    </row>
    <row r="97" spans="1:18" x14ac:dyDescent="0.3">
      <c r="A97" s="3" t="s">
        <v>156</v>
      </c>
      <c r="B97" s="3" t="s">
        <v>14</v>
      </c>
      <c r="C97" s="10">
        <v>45545</v>
      </c>
      <c r="D97" s="3" t="s">
        <v>44</v>
      </c>
      <c r="E97" s="3" t="s">
        <v>92</v>
      </c>
      <c r="F97" s="19">
        <v>1238</v>
      </c>
      <c r="G97" s="19">
        <v>366</v>
      </c>
      <c r="H97" s="19">
        <v>444</v>
      </c>
      <c r="I97" s="19">
        <v>19808</v>
      </c>
      <c r="J97" s="19">
        <v>19334</v>
      </c>
      <c r="K97" s="19">
        <v>123</v>
      </c>
      <c r="L97" s="19">
        <f t="shared" si="2"/>
        <v>2048</v>
      </c>
      <c r="M97" s="4" t="s">
        <v>51</v>
      </c>
      <c r="N97" s="3" t="s">
        <v>51</v>
      </c>
      <c r="O97" s="3"/>
      <c r="P97" s="10"/>
      <c r="Q97" s="3" t="s">
        <v>397</v>
      </c>
      <c r="R97" s="75">
        <f t="shared" si="3"/>
        <v>0.10339256865912763</v>
      </c>
    </row>
    <row r="98" spans="1:18" x14ac:dyDescent="0.3">
      <c r="A98" s="3" t="s">
        <v>157</v>
      </c>
      <c r="B98" s="3" t="s">
        <v>30</v>
      </c>
      <c r="C98" s="10">
        <v>45517</v>
      </c>
      <c r="D98" s="3" t="s">
        <v>44</v>
      </c>
      <c r="E98" s="3" t="s">
        <v>140</v>
      </c>
      <c r="F98" s="19">
        <v>4739</v>
      </c>
      <c r="G98" s="19">
        <v>527</v>
      </c>
      <c r="H98" s="19">
        <v>135</v>
      </c>
      <c r="I98" s="19">
        <v>61607</v>
      </c>
      <c r="J98" s="19">
        <v>61333</v>
      </c>
      <c r="K98" s="19">
        <v>36</v>
      </c>
      <c r="L98" s="19">
        <f t="shared" si="2"/>
        <v>5401</v>
      </c>
      <c r="M98" s="4" t="s">
        <v>72</v>
      </c>
      <c r="N98" s="3" t="s">
        <v>27</v>
      </c>
      <c r="O98" s="3" t="s">
        <v>392</v>
      </c>
      <c r="P98" s="10"/>
      <c r="Q98" s="3" t="s">
        <v>23</v>
      </c>
      <c r="R98" s="75">
        <f t="shared" si="3"/>
        <v>8.7668609086629767E-2</v>
      </c>
    </row>
    <row r="99" spans="1:18" x14ac:dyDescent="0.3">
      <c r="A99" s="3" t="s">
        <v>158</v>
      </c>
      <c r="B99" s="3" t="s">
        <v>14</v>
      </c>
      <c r="C99" s="10">
        <v>45453</v>
      </c>
      <c r="D99" s="3" t="s">
        <v>31</v>
      </c>
      <c r="E99" s="3" t="s">
        <v>102</v>
      </c>
      <c r="F99" s="19">
        <v>1575</v>
      </c>
      <c r="G99" s="19">
        <v>771</v>
      </c>
      <c r="H99" s="19">
        <v>486</v>
      </c>
      <c r="I99" s="19">
        <v>25200</v>
      </c>
      <c r="J99" s="19">
        <v>24826</v>
      </c>
      <c r="K99" s="19">
        <v>17</v>
      </c>
      <c r="L99" s="19">
        <f t="shared" si="2"/>
        <v>2832</v>
      </c>
      <c r="M99" s="4" t="s">
        <v>51</v>
      </c>
      <c r="N99" s="3" t="s">
        <v>51</v>
      </c>
      <c r="O99" s="3"/>
      <c r="P99" s="10"/>
      <c r="Q99" s="3" t="s">
        <v>34</v>
      </c>
      <c r="R99" s="75">
        <f t="shared" si="3"/>
        <v>0.11238095238095239</v>
      </c>
    </row>
    <row r="100" spans="1:18" x14ac:dyDescent="0.3">
      <c r="A100" s="3" t="s">
        <v>159</v>
      </c>
      <c r="B100" s="3" t="s">
        <v>25</v>
      </c>
      <c r="C100" s="10">
        <v>45475</v>
      </c>
      <c r="D100" s="3" t="s">
        <v>39</v>
      </c>
      <c r="E100" s="3" t="s">
        <v>55</v>
      </c>
      <c r="F100" s="19">
        <v>4171</v>
      </c>
      <c r="G100" s="19">
        <v>548</v>
      </c>
      <c r="H100" s="19">
        <v>86</v>
      </c>
      <c r="I100" s="19">
        <v>66736</v>
      </c>
      <c r="J100" s="19">
        <v>66634</v>
      </c>
      <c r="K100" s="19">
        <v>173</v>
      </c>
      <c r="L100" s="19">
        <f t="shared" si="2"/>
        <v>4805</v>
      </c>
      <c r="M100" s="4" t="s">
        <v>51</v>
      </c>
      <c r="N100" s="3" t="s">
        <v>51</v>
      </c>
      <c r="O100" s="3"/>
      <c r="P100" s="10"/>
      <c r="Q100" s="3" t="s">
        <v>28</v>
      </c>
      <c r="R100" s="75">
        <f t="shared" si="3"/>
        <v>7.2000119875329657E-2</v>
      </c>
    </row>
    <row r="101" spans="1:18" x14ac:dyDescent="0.3">
      <c r="A101" s="3" t="s">
        <v>160</v>
      </c>
      <c r="B101" s="3" t="s">
        <v>25</v>
      </c>
      <c r="C101" s="10">
        <v>45698</v>
      </c>
      <c r="D101" s="3" t="s">
        <v>59</v>
      </c>
      <c r="E101" s="3" t="s">
        <v>143</v>
      </c>
      <c r="F101" s="19">
        <v>1766</v>
      </c>
      <c r="G101" s="19">
        <v>92</v>
      </c>
      <c r="H101" s="19">
        <v>424</v>
      </c>
      <c r="I101" s="19">
        <v>24724</v>
      </c>
      <c r="J101" s="19">
        <v>24333</v>
      </c>
      <c r="K101" s="19">
        <v>52</v>
      </c>
      <c r="L101" s="19">
        <f t="shared" si="2"/>
        <v>2282</v>
      </c>
      <c r="M101" s="4" t="s">
        <v>33</v>
      </c>
      <c r="N101" s="3" t="s">
        <v>33</v>
      </c>
      <c r="O101" s="3"/>
      <c r="P101" s="10"/>
      <c r="Q101" s="3" t="s">
        <v>397</v>
      </c>
      <c r="R101" s="75">
        <f t="shared" si="3"/>
        <v>9.2298980747451867E-2</v>
      </c>
    </row>
    <row r="102" spans="1:18" x14ac:dyDescent="0.3">
      <c r="A102" s="3" t="s">
        <v>161</v>
      </c>
      <c r="B102" s="3" t="s">
        <v>25</v>
      </c>
      <c r="C102" s="10">
        <v>45583</v>
      </c>
      <c r="D102" s="3" t="s">
        <v>59</v>
      </c>
      <c r="E102" s="3" t="s">
        <v>143</v>
      </c>
      <c r="F102" s="19">
        <v>4450</v>
      </c>
      <c r="G102" s="19">
        <v>983</v>
      </c>
      <c r="H102" s="19">
        <v>143</v>
      </c>
      <c r="I102" s="19">
        <v>75650</v>
      </c>
      <c r="J102" s="19">
        <v>75008</v>
      </c>
      <c r="K102" s="19">
        <v>12</v>
      </c>
      <c r="L102" s="19">
        <f t="shared" si="2"/>
        <v>5576</v>
      </c>
      <c r="M102" s="4" t="s">
        <v>51</v>
      </c>
      <c r="N102" s="3" t="s">
        <v>51</v>
      </c>
      <c r="O102" s="3"/>
      <c r="P102" s="10"/>
      <c r="Q102" s="3" t="s">
        <v>28</v>
      </c>
      <c r="R102" s="75">
        <f t="shared" si="3"/>
        <v>7.3707865168539333E-2</v>
      </c>
    </row>
    <row r="103" spans="1:18" x14ac:dyDescent="0.3">
      <c r="A103" s="3" t="s">
        <v>162</v>
      </c>
      <c r="B103" s="3" t="s">
        <v>14</v>
      </c>
      <c r="C103" s="10">
        <v>45553</v>
      </c>
      <c r="D103" s="3" t="s">
        <v>15</v>
      </c>
      <c r="E103" s="3" t="s">
        <v>16</v>
      </c>
      <c r="F103" s="19">
        <v>1000</v>
      </c>
      <c r="G103" s="19">
        <v>978</v>
      </c>
      <c r="H103" s="19">
        <v>162</v>
      </c>
      <c r="I103" s="19">
        <v>6000</v>
      </c>
      <c r="J103" s="19">
        <v>5221</v>
      </c>
      <c r="K103" s="19">
        <v>223</v>
      </c>
      <c r="L103" s="19">
        <f t="shared" si="2"/>
        <v>2140</v>
      </c>
      <c r="M103" s="4" t="s">
        <v>33</v>
      </c>
      <c r="N103" s="3" t="s">
        <v>33</v>
      </c>
      <c r="O103" s="3"/>
      <c r="P103" s="10"/>
      <c r="Q103" s="3" t="s">
        <v>23</v>
      </c>
      <c r="R103" s="75">
        <f t="shared" si="3"/>
        <v>0.35666666666666669</v>
      </c>
    </row>
    <row r="104" spans="1:18" x14ac:dyDescent="0.3">
      <c r="A104" s="3" t="s">
        <v>163</v>
      </c>
      <c r="B104" s="3" t="s">
        <v>38</v>
      </c>
      <c r="C104" s="10">
        <v>45454</v>
      </c>
      <c r="D104" s="3" t="s">
        <v>44</v>
      </c>
      <c r="E104" s="3" t="s">
        <v>49</v>
      </c>
      <c r="F104" s="19">
        <v>3689</v>
      </c>
      <c r="G104" s="19">
        <v>48</v>
      </c>
      <c r="H104" s="19">
        <v>306</v>
      </c>
      <c r="I104" s="19">
        <v>40579</v>
      </c>
      <c r="J104" s="19">
        <v>39588</v>
      </c>
      <c r="K104" s="19">
        <v>212</v>
      </c>
      <c r="L104" s="19">
        <f t="shared" si="2"/>
        <v>4043</v>
      </c>
      <c r="M104" s="4" t="s">
        <v>33</v>
      </c>
      <c r="N104" s="3" t="s">
        <v>33</v>
      </c>
      <c r="O104" s="3"/>
      <c r="P104" s="10"/>
      <c r="Q104" s="3" t="s">
        <v>23</v>
      </c>
      <c r="R104" s="75">
        <f t="shared" si="3"/>
        <v>9.9632815002833983E-2</v>
      </c>
    </row>
    <row r="105" spans="1:18" x14ac:dyDescent="0.3">
      <c r="A105" s="3" t="s">
        <v>164</v>
      </c>
      <c r="B105" s="3" t="s">
        <v>25</v>
      </c>
      <c r="C105" s="10">
        <v>45739</v>
      </c>
      <c r="D105" s="3" t="s">
        <v>31</v>
      </c>
      <c r="E105" s="3" t="s">
        <v>105</v>
      </c>
      <c r="F105" s="19">
        <v>3655</v>
      </c>
      <c r="G105" s="19">
        <v>568</v>
      </c>
      <c r="H105" s="19">
        <v>286</v>
      </c>
      <c r="I105" s="19">
        <v>32895</v>
      </c>
      <c r="J105" s="19">
        <v>32015</v>
      </c>
      <c r="K105" s="19">
        <v>199</v>
      </c>
      <c r="L105" s="19">
        <f t="shared" si="2"/>
        <v>4509</v>
      </c>
      <c r="M105" s="4" t="s">
        <v>27</v>
      </c>
      <c r="N105" s="3" t="s">
        <v>27</v>
      </c>
      <c r="O105" s="3"/>
      <c r="P105" s="10"/>
      <c r="Q105" s="3" t="s">
        <v>28</v>
      </c>
      <c r="R105" s="75">
        <f t="shared" si="3"/>
        <v>0.13707250341997265</v>
      </c>
    </row>
    <row r="106" spans="1:18" x14ac:dyDescent="0.3">
      <c r="A106" s="3" t="s">
        <v>165</v>
      </c>
      <c r="B106" s="3" t="s">
        <v>30</v>
      </c>
      <c r="C106" s="10">
        <v>45457</v>
      </c>
      <c r="D106" s="3" t="s">
        <v>39</v>
      </c>
      <c r="E106" s="3" t="s">
        <v>68</v>
      </c>
      <c r="F106" s="19">
        <v>498</v>
      </c>
      <c r="G106" s="19">
        <v>38</v>
      </c>
      <c r="H106" s="19">
        <v>42</v>
      </c>
      <c r="I106" s="19">
        <v>4482</v>
      </c>
      <c r="J106" s="19">
        <v>3647</v>
      </c>
      <c r="K106" s="19">
        <v>32</v>
      </c>
      <c r="L106" s="19">
        <f t="shared" si="2"/>
        <v>578</v>
      </c>
      <c r="M106" s="4" t="s">
        <v>51</v>
      </c>
      <c r="N106" s="3" t="s">
        <v>51</v>
      </c>
      <c r="O106" s="3"/>
      <c r="P106" s="10"/>
      <c r="Q106" s="3" t="s">
        <v>18</v>
      </c>
      <c r="R106" s="75">
        <f t="shared" si="3"/>
        <v>0.12896028558679162</v>
      </c>
    </row>
    <row r="107" spans="1:18" x14ac:dyDescent="0.3">
      <c r="A107" s="3" t="s">
        <v>166</v>
      </c>
      <c r="B107" s="3" t="s">
        <v>30</v>
      </c>
      <c r="C107" s="10">
        <v>45692</v>
      </c>
      <c r="D107" s="3" t="s">
        <v>44</v>
      </c>
      <c r="E107" s="3" t="s">
        <v>140</v>
      </c>
      <c r="F107" s="19">
        <v>4619</v>
      </c>
      <c r="G107" s="19">
        <v>821</v>
      </c>
      <c r="H107" s="19">
        <v>499</v>
      </c>
      <c r="I107" s="19">
        <v>69285</v>
      </c>
      <c r="J107" s="19">
        <v>69141</v>
      </c>
      <c r="K107" s="19">
        <v>298</v>
      </c>
      <c r="L107" s="19">
        <f t="shared" si="2"/>
        <v>5939</v>
      </c>
      <c r="M107" s="4" t="s">
        <v>27</v>
      </c>
      <c r="N107" s="3" t="s">
        <v>27</v>
      </c>
      <c r="O107" s="3"/>
      <c r="P107" s="10"/>
      <c r="Q107" s="3" t="s">
        <v>34</v>
      </c>
      <c r="R107" s="75">
        <f t="shared" si="3"/>
        <v>8.5718409468138843E-2</v>
      </c>
    </row>
    <row r="108" spans="1:18" x14ac:dyDescent="0.3">
      <c r="A108" s="3" t="s">
        <v>167</v>
      </c>
      <c r="B108" s="3" t="s">
        <v>25</v>
      </c>
      <c r="C108" s="10">
        <v>45464</v>
      </c>
      <c r="D108" s="3" t="s">
        <v>44</v>
      </c>
      <c r="E108" s="3" t="s">
        <v>45</v>
      </c>
      <c r="F108" s="19">
        <v>4832</v>
      </c>
      <c r="G108" s="19">
        <v>893</v>
      </c>
      <c r="H108" s="19">
        <v>10</v>
      </c>
      <c r="I108" s="19">
        <v>91808</v>
      </c>
      <c r="J108" s="19">
        <v>91296</v>
      </c>
      <c r="K108" s="19">
        <v>182</v>
      </c>
      <c r="L108" s="19">
        <f t="shared" si="2"/>
        <v>5735</v>
      </c>
      <c r="M108" s="4" t="s">
        <v>27</v>
      </c>
      <c r="N108" s="3" t="s">
        <v>27</v>
      </c>
      <c r="O108" s="3"/>
      <c r="P108" s="10"/>
      <c r="Q108" s="3" t="s">
        <v>397</v>
      </c>
      <c r="R108" s="75">
        <f t="shared" si="3"/>
        <v>6.2467323109097243E-2</v>
      </c>
    </row>
    <row r="109" spans="1:18" x14ac:dyDescent="0.3">
      <c r="A109" s="3" t="s">
        <v>168</v>
      </c>
      <c r="B109" s="3" t="s">
        <v>14</v>
      </c>
      <c r="C109" s="10">
        <v>45741</v>
      </c>
      <c r="D109" s="3" t="s">
        <v>59</v>
      </c>
      <c r="E109" s="3" t="s">
        <v>99</v>
      </c>
      <c r="F109" s="19">
        <v>4050</v>
      </c>
      <c r="G109" s="19">
        <v>871</v>
      </c>
      <c r="H109" s="19">
        <v>347</v>
      </c>
      <c r="I109" s="19">
        <v>52650</v>
      </c>
      <c r="J109" s="19">
        <v>51755</v>
      </c>
      <c r="K109" s="19">
        <v>209</v>
      </c>
      <c r="L109" s="19">
        <f t="shared" si="2"/>
        <v>5268</v>
      </c>
      <c r="M109" s="4" t="s">
        <v>27</v>
      </c>
      <c r="N109" s="3" t="s">
        <v>27</v>
      </c>
      <c r="O109" s="3"/>
      <c r="P109" s="10"/>
      <c r="Q109" s="3" t="s">
        <v>23</v>
      </c>
      <c r="R109" s="75">
        <f t="shared" si="3"/>
        <v>0.10005698005698006</v>
      </c>
    </row>
    <row r="110" spans="1:18" x14ac:dyDescent="0.3">
      <c r="A110" s="3" t="s">
        <v>169</v>
      </c>
      <c r="B110" s="3" t="s">
        <v>14</v>
      </c>
      <c r="C110" s="10">
        <v>45512</v>
      </c>
      <c r="D110" s="3" t="s">
        <v>31</v>
      </c>
      <c r="E110" s="3" t="s">
        <v>102</v>
      </c>
      <c r="F110" s="19">
        <v>3649</v>
      </c>
      <c r="G110" s="19">
        <v>215</v>
      </c>
      <c r="H110" s="19">
        <v>413</v>
      </c>
      <c r="I110" s="19">
        <v>25543</v>
      </c>
      <c r="J110" s="19">
        <v>24963</v>
      </c>
      <c r="K110" s="19">
        <v>167</v>
      </c>
      <c r="L110" s="19">
        <f t="shared" si="2"/>
        <v>4277</v>
      </c>
      <c r="M110" s="4" t="s">
        <v>51</v>
      </c>
      <c r="N110" s="3" t="s">
        <v>51</v>
      </c>
      <c r="O110" s="3"/>
      <c r="P110" s="10"/>
      <c r="Q110" s="3" t="s">
        <v>28</v>
      </c>
      <c r="R110" s="75">
        <f t="shared" si="3"/>
        <v>0.16744313510550835</v>
      </c>
    </row>
    <row r="111" spans="1:18" x14ac:dyDescent="0.3">
      <c r="A111" s="3" t="s">
        <v>170</v>
      </c>
      <c r="B111" s="3" t="s">
        <v>30</v>
      </c>
      <c r="C111" s="10">
        <v>45502</v>
      </c>
      <c r="D111" s="3" t="s">
        <v>15</v>
      </c>
      <c r="E111" s="3" t="s">
        <v>64</v>
      </c>
      <c r="F111" s="19">
        <v>3523</v>
      </c>
      <c r="G111" s="19">
        <v>753</v>
      </c>
      <c r="H111" s="19">
        <v>482</v>
      </c>
      <c r="I111" s="19">
        <v>38753</v>
      </c>
      <c r="J111" s="19">
        <v>38579</v>
      </c>
      <c r="K111" s="19">
        <v>270</v>
      </c>
      <c r="L111" s="19">
        <f t="shared" si="2"/>
        <v>4758</v>
      </c>
      <c r="M111" s="4" t="s">
        <v>33</v>
      </c>
      <c r="N111" s="3" t="s">
        <v>33</v>
      </c>
      <c r="O111" s="3"/>
      <c r="P111" s="10"/>
      <c r="Q111" s="3" t="s">
        <v>23</v>
      </c>
      <c r="R111" s="75">
        <f t="shared" si="3"/>
        <v>0.12277759141227776</v>
      </c>
    </row>
    <row r="112" spans="1:18" x14ac:dyDescent="0.3">
      <c r="A112" s="3" t="s">
        <v>171</v>
      </c>
      <c r="B112" s="3" t="s">
        <v>25</v>
      </c>
      <c r="C112" s="10">
        <v>45619</v>
      </c>
      <c r="D112" s="3" t="s">
        <v>44</v>
      </c>
      <c r="E112" s="3" t="s">
        <v>45</v>
      </c>
      <c r="F112" s="19">
        <v>2719</v>
      </c>
      <c r="G112" s="19">
        <v>17</v>
      </c>
      <c r="H112" s="19">
        <v>285</v>
      </c>
      <c r="I112" s="19">
        <v>40785</v>
      </c>
      <c r="J112" s="19">
        <v>40281</v>
      </c>
      <c r="K112" s="19">
        <v>40</v>
      </c>
      <c r="L112" s="19">
        <f t="shared" si="2"/>
        <v>3021</v>
      </c>
      <c r="M112" s="4" t="s">
        <v>27</v>
      </c>
      <c r="N112" s="3" t="s">
        <v>27</v>
      </c>
      <c r="O112" s="3"/>
      <c r="P112" s="10"/>
      <c r="Q112" s="3" t="s">
        <v>23</v>
      </c>
      <c r="R112" s="75">
        <f t="shared" si="3"/>
        <v>7.4071349760941527E-2</v>
      </c>
    </row>
    <row r="113" spans="1:18" x14ac:dyDescent="0.3">
      <c r="A113" s="3" t="s">
        <v>172</v>
      </c>
      <c r="B113" s="3" t="s">
        <v>14</v>
      </c>
      <c r="C113" s="10">
        <v>45570</v>
      </c>
      <c r="D113" s="3" t="s">
        <v>31</v>
      </c>
      <c r="E113" s="3" t="s">
        <v>102</v>
      </c>
      <c r="F113" s="19">
        <v>1957</v>
      </c>
      <c r="G113" s="19">
        <v>877</v>
      </c>
      <c r="H113" s="19">
        <v>238</v>
      </c>
      <c r="I113" s="19">
        <v>17613</v>
      </c>
      <c r="J113" s="19">
        <v>16865</v>
      </c>
      <c r="K113" s="19">
        <v>297</v>
      </c>
      <c r="L113" s="19">
        <f t="shared" si="2"/>
        <v>3072</v>
      </c>
      <c r="M113" s="4" t="s">
        <v>51</v>
      </c>
      <c r="N113" s="3" t="s">
        <v>51</v>
      </c>
      <c r="O113" s="3"/>
      <c r="P113" s="10"/>
      <c r="Q113" s="3" t="s">
        <v>28</v>
      </c>
      <c r="R113" s="75">
        <f t="shared" si="3"/>
        <v>0.17441662408448305</v>
      </c>
    </row>
    <row r="114" spans="1:18" x14ac:dyDescent="0.3">
      <c r="A114" s="3" t="s">
        <v>173</v>
      </c>
      <c r="B114" s="3" t="s">
        <v>14</v>
      </c>
      <c r="C114" s="10">
        <v>45567</v>
      </c>
      <c r="D114" s="3" t="s">
        <v>39</v>
      </c>
      <c r="E114" s="3" t="s">
        <v>42</v>
      </c>
      <c r="F114" s="19">
        <v>4419</v>
      </c>
      <c r="G114" s="19">
        <v>236</v>
      </c>
      <c r="H114" s="19">
        <v>369</v>
      </c>
      <c r="I114" s="19">
        <v>44190</v>
      </c>
      <c r="J114" s="19">
        <v>43582</v>
      </c>
      <c r="K114" s="19">
        <v>10</v>
      </c>
      <c r="L114" s="19">
        <f t="shared" si="2"/>
        <v>5024</v>
      </c>
      <c r="M114" s="4" t="s">
        <v>33</v>
      </c>
      <c r="N114" s="3" t="s">
        <v>33</v>
      </c>
      <c r="O114" s="3"/>
      <c r="P114" s="10"/>
      <c r="Q114" s="3" t="s">
        <v>18</v>
      </c>
      <c r="R114" s="75">
        <f t="shared" si="3"/>
        <v>0.11369088028965829</v>
      </c>
    </row>
    <row r="115" spans="1:18" x14ac:dyDescent="0.3">
      <c r="A115" s="3" t="s">
        <v>174</v>
      </c>
      <c r="B115" s="3" t="s">
        <v>14</v>
      </c>
      <c r="C115" s="10">
        <v>45610</v>
      </c>
      <c r="D115" s="3" t="s">
        <v>31</v>
      </c>
      <c r="E115" s="3" t="s">
        <v>102</v>
      </c>
      <c r="F115" s="19">
        <v>4000</v>
      </c>
      <c r="G115" s="19">
        <v>689</v>
      </c>
      <c r="H115" s="19">
        <v>488</v>
      </c>
      <c r="I115" s="19">
        <v>40000</v>
      </c>
      <c r="J115" s="19">
        <v>39569</v>
      </c>
      <c r="K115" s="19">
        <v>44</v>
      </c>
      <c r="L115" s="19">
        <f t="shared" si="2"/>
        <v>5177</v>
      </c>
      <c r="M115" s="4" t="s">
        <v>51</v>
      </c>
      <c r="N115" s="3" t="s">
        <v>51</v>
      </c>
      <c r="O115" s="3"/>
      <c r="P115" s="10"/>
      <c r="Q115" s="3" t="s">
        <v>18</v>
      </c>
      <c r="R115" s="75">
        <f t="shared" si="3"/>
        <v>0.12942500000000001</v>
      </c>
    </row>
    <row r="116" spans="1:18" x14ac:dyDescent="0.3">
      <c r="A116" s="3" t="s">
        <v>175</v>
      </c>
      <c r="B116" s="3" t="s">
        <v>14</v>
      </c>
      <c r="C116" s="10">
        <v>45788</v>
      </c>
      <c r="D116" s="3" t="s">
        <v>44</v>
      </c>
      <c r="E116" s="3" t="s">
        <v>92</v>
      </c>
      <c r="F116" s="19">
        <v>2493</v>
      </c>
      <c r="G116" s="19">
        <v>97</v>
      </c>
      <c r="H116" s="19">
        <v>44</v>
      </c>
      <c r="I116" s="19">
        <v>42381</v>
      </c>
      <c r="J116" s="19">
        <v>41991</v>
      </c>
      <c r="K116" s="19">
        <v>242</v>
      </c>
      <c r="L116" s="19">
        <f t="shared" si="2"/>
        <v>2634</v>
      </c>
      <c r="M116" s="4" t="s">
        <v>72</v>
      </c>
      <c r="N116" s="3" t="s">
        <v>27</v>
      </c>
      <c r="O116" s="3" t="s">
        <v>392</v>
      </c>
      <c r="P116" s="10"/>
      <c r="Q116" s="3" t="s">
        <v>34</v>
      </c>
      <c r="R116" s="75">
        <f t="shared" si="3"/>
        <v>6.2150491965739366E-2</v>
      </c>
    </row>
    <row r="117" spans="1:18" x14ac:dyDescent="0.3">
      <c r="A117" s="3" t="s">
        <v>176</v>
      </c>
      <c r="B117" s="3" t="s">
        <v>25</v>
      </c>
      <c r="C117" s="10">
        <v>45734</v>
      </c>
      <c r="D117" s="3" t="s">
        <v>15</v>
      </c>
      <c r="E117" s="3" t="s">
        <v>26</v>
      </c>
      <c r="F117" s="19">
        <v>3704</v>
      </c>
      <c r="G117" s="19">
        <v>186</v>
      </c>
      <c r="H117" s="19">
        <v>458</v>
      </c>
      <c r="I117" s="19">
        <v>25928</v>
      </c>
      <c r="J117" s="19">
        <v>25081</v>
      </c>
      <c r="K117" s="19">
        <v>131</v>
      </c>
      <c r="L117" s="19">
        <f t="shared" si="2"/>
        <v>4348</v>
      </c>
      <c r="M117" s="4" t="s">
        <v>27</v>
      </c>
      <c r="N117" s="3" t="s">
        <v>27</v>
      </c>
      <c r="O117" s="3"/>
      <c r="P117" s="10"/>
      <c r="Q117" s="3" t="s">
        <v>397</v>
      </c>
      <c r="R117" s="75">
        <f t="shared" si="3"/>
        <v>0.16769515581610614</v>
      </c>
    </row>
    <row r="118" spans="1:18" x14ac:dyDescent="0.3">
      <c r="A118" s="3" t="s">
        <v>177</v>
      </c>
      <c r="B118" s="3" t="s">
        <v>14</v>
      </c>
      <c r="C118" s="10">
        <v>45600</v>
      </c>
      <c r="D118" s="3" t="s">
        <v>44</v>
      </c>
      <c r="E118" s="3" t="s">
        <v>92</v>
      </c>
      <c r="F118" s="19">
        <v>1606</v>
      </c>
      <c r="G118" s="19">
        <v>451</v>
      </c>
      <c r="H118" s="19">
        <v>405</v>
      </c>
      <c r="I118" s="19">
        <v>20878</v>
      </c>
      <c r="J118" s="19">
        <v>20190</v>
      </c>
      <c r="K118" s="19">
        <v>219</v>
      </c>
      <c r="L118" s="19">
        <f t="shared" si="2"/>
        <v>2462</v>
      </c>
      <c r="M118" s="4" t="s">
        <v>33</v>
      </c>
      <c r="N118" s="3" t="s">
        <v>33</v>
      </c>
      <c r="O118" s="3"/>
      <c r="P118" s="10"/>
      <c r="Q118" s="3" t="s">
        <v>34</v>
      </c>
      <c r="R118" s="75">
        <f t="shared" si="3"/>
        <v>0.11792317271769326</v>
      </c>
    </row>
    <row r="119" spans="1:18" x14ac:dyDescent="0.3">
      <c r="A119" s="3" t="s">
        <v>178</v>
      </c>
      <c r="B119" s="3" t="s">
        <v>38</v>
      </c>
      <c r="C119" s="10">
        <v>45600</v>
      </c>
      <c r="D119" s="3" t="s">
        <v>44</v>
      </c>
      <c r="E119" s="3" t="s">
        <v>49</v>
      </c>
      <c r="F119" s="19">
        <v>4551</v>
      </c>
      <c r="G119" s="19">
        <v>714</v>
      </c>
      <c r="H119" s="19">
        <v>207</v>
      </c>
      <c r="I119" s="19">
        <v>68265</v>
      </c>
      <c r="J119" s="19">
        <v>67754</v>
      </c>
      <c r="K119" s="19">
        <v>57</v>
      </c>
      <c r="L119" s="19">
        <f t="shared" si="2"/>
        <v>5472</v>
      </c>
      <c r="M119" s="4" t="s">
        <v>51</v>
      </c>
      <c r="N119" s="3" t="s">
        <v>51</v>
      </c>
      <c r="O119" s="3"/>
      <c r="P119" s="10"/>
      <c r="Q119" s="3" t="s">
        <v>28</v>
      </c>
      <c r="R119" s="75">
        <f t="shared" si="3"/>
        <v>8.0158206987475278E-2</v>
      </c>
    </row>
    <row r="120" spans="1:18" x14ac:dyDescent="0.3">
      <c r="A120" s="3" t="s">
        <v>179</v>
      </c>
      <c r="B120" s="3" t="s">
        <v>30</v>
      </c>
      <c r="C120" s="10">
        <v>45695</v>
      </c>
      <c r="D120" s="3" t="s">
        <v>15</v>
      </c>
      <c r="E120" s="3" t="s">
        <v>64</v>
      </c>
      <c r="F120" s="19">
        <v>1970</v>
      </c>
      <c r="G120" s="19">
        <v>675</v>
      </c>
      <c r="H120" s="19">
        <v>478</v>
      </c>
      <c r="I120" s="19">
        <v>9850</v>
      </c>
      <c r="J120" s="19">
        <v>8924</v>
      </c>
      <c r="K120" s="19">
        <v>117</v>
      </c>
      <c r="L120" s="19">
        <f t="shared" si="2"/>
        <v>3123</v>
      </c>
      <c r="M120" s="4" t="s">
        <v>51</v>
      </c>
      <c r="N120" s="3" t="s">
        <v>51</v>
      </c>
      <c r="O120" s="3"/>
      <c r="P120" s="10"/>
      <c r="Q120" s="3" t="s">
        <v>397</v>
      </c>
      <c r="R120" s="75">
        <f t="shared" si="3"/>
        <v>0.31705583756345179</v>
      </c>
    </row>
    <row r="121" spans="1:18" x14ac:dyDescent="0.3">
      <c r="A121" s="3" t="s">
        <v>180</v>
      </c>
      <c r="B121" s="3" t="s">
        <v>38</v>
      </c>
      <c r="C121" s="10">
        <v>45586</v>
      </c>
      <c r="D121" s="3" t="s">
        <v>31</v>
      </c>
      <c r="E121" s="3" t="s">
        <v>57</v>
      </c>
      <c r="F121" s="19">
        <v>780</v>
      </c>
      <c r="G121" s="19">
        <v>928</v>
      </c>
      <c r="H121" s="19">
        <v>301</v>
      </c>
      <c r="I121" s="19">
        <v>8580</v>
      </c>
      <c r="J121" s="19">
        <v>8081</v>
      </c>
      <c r="K121" s="19">
        <v>91</v>
      </c>
      <c r="L121" s="19">
        <f t="shared" si="2"/>
        <v>2009</v>
      </c>
      <c r="M121" s="4" t="s">
        <v>33</v>
      </c>
      <c r="N121" s="3" t="s">
        <v>33</v>
      </c>
      <c r="O121" s="3"/>
      <c r="P121" s="10"/>
      <c r="Q121" s="3" t="s">
        <v>28</v>
      </c>
      <c r="R121" s="75">
        <f t="shared" si="3"/>
        <v>0.23414918414918415</v>
      </c>
    </row>
    <row r="122" spans="1:18" x14ac:dyDescent="0.3">
      <c r="A122" s="3" t="s">
        <v>181</v>
      </c>
      <c r="B122" s="3" t="s">
        <v>30</v>
      </c>
      <c r="C122" s="10">
        <v>45502</v>
      </c>
      <c r="D122" s="3" t="s">
        <v>31</v>
      </c>
      <c r="E122" s="3" t="s">
        <v>32</v>
      </c>
      <c r="F122" s="19">
        <v>498</v>
      </c>
      <c r="G122" s="19">
        <v>701</v>
      </c>
      <c r="H122" s="19">
        <v>412</v>
      </c>
      <c r="I122" s="19">
        <v>4980</v>
      </c>
      <c r="J122" s="19">
        <v>4185</v>
      </c>
      <c r="K122" s="19">
        <v>185</v>
      </c>
      <c r="L122" s="19">
        <f t="shared" si="2"/>
        <v>1611</v>
      </c>
      <c r="M122" s="4" t="s">
        <v>51</v>
      </c>
      <c r="N122" s="3" t="s">
        <v>51</v>
      </c>
      <c r="O122" s="3"/>
      <c r="P122" s="10"/>
      <c r="Q122" s="3" t="s">
        <v>397</v>
      </c>
      <c r="R122" s="75">
        <f t="shared" si="3"/>
        <v>0.32349397590361445</v>
      </c>
    </row>
    <row r="123" spans="1:18" x14ac:dyDescent="0.3">
      <c r="A123" s="3" t="s">
        <v>182</v>
      </c>
      <c r="B123" s="3" t="s">
        <v>30</v>
      </c>
      <c r="C123" s="10">
        <v>45567</v>
      </c>
      <c r="D123" s="3" t="s">
        <v>20</v>
      </c>
      <c r="E123" s="3" t="s">
        <v>82</v>
      </c>
      <c r="F123" s="19">
        <v>3432</v>
      </c>
      <c r="G123" s="19">
        <v>869</v>
      </c>
      <c r="H123" s="19">
        <v>123</v>
      </c>
      <c r="I123" s="19">
        <v>54912</v>
      </c>
      <c r="J123" s="19">
        <v>53916</v>
      </c>
      <c r="K123" s="19">
        <v>264</v>
      </c>
      <c r="L123" s="19">
        <f t="shared" si="2"/>
        <v>4424</v>
      </c>
      <c r="M123" s="4" t="s">
        <v>33</v>
      </c>
      <c r="N123" s="3" t="s">
        <v>33</v>
      </c>
      <c r="O123" s="3"/>
      <c r="P123" s="10"/>
      <c r="Q123" s="3" t="s">
        <v>23</v>
      </c>
      <c r="R123" s="75">
        <f t="shared" si="3"/>
        <v>8.0565268065268064E-2</v>
      </c>
    </row>
    <row r="124" spans="1:18" x14ac:dyDescent="0.3">
      <c r="A124" s="3" t="s">
        <v>183</v>
      </c>
      <c r="B124" s="3" t="s">
        <v>30</v>
      </c>
      <c r="C124" s="10">
        <v>45457</v>
      </c>
      <c r="D124" s="3" t="s">
        <v>31</v>
      </c>
      <c r="E124" s="3" t="s">
        <v>32</v>
      </c>
      <c r="F124" s="19">
        <v>4363</v>
      </c>
      <c r="G124" s="19">
        <v>649</v>
      </c>
      <c r="H124" s="19">
        <v>140</v>
      </c>
      <c r="I124" s="19">
        <v>21815</v>
      </c>
      <c r="J124" s="19">
        <v>21481</v>
      </c>
      <c r="K124" s="19">
        <v>157</v>
      </c>
      <c r="L124" s="19">
        <f t="shared" si="2"/>
        <v>5152</v>
      </c>
      <c r="M124" s="4" t="s">
        <v>33</v>
      </c>
      <c r="N124" s="3" t="s">
        <v>33</v>
      </c>
      <c r="O124" s="3"/>
      <c r="P124" s="10"/>
      <c r="Q124" s="3" t="s">
        <v>18</v>
      </c>
      <c r="R124" s="75">
        <f t="shared" si="3"/>
        <v>0.23616777446710979</v>
      </c>
    </row>
    <row r="125" spans="1:18" x14ac:dyDescent="0.3">
      <c r="A125" s="3" t="s">
        <v>184</v>
      </c>
      <c r="B125" s="3" t="s">
        <v>25</v>
      </c>
      <c r="C125" s="10">
        <v>45753</v>
      </c>
      <c r="D125" s="3" t="s">
        <v>39</v>
      </c>
      <c r="E125" s="3" t="s">
        <v>55</v>
      </c>
      <c r="F125" s="19">
        <v>736</v>
      </c>
      <c r="G125" s="19">
        <v>771</v>
      </c>
      <c r="H125" s="19">
        <v>225</v>
      </c>
      <c r="I125" s="19">
        <v>5152</v>
      </c>
      <c r="J125" s="19">
        <v>4706</v>
      </c>
      <c r="K125" s="19">
        <v>19</v>
      </c>
      <c r="L125" s="19">
        <f t="shared" si="2"/>
        <v>1732</v>
      </c>
      <c r="M125" s="4" t="s">
        <v>33</v>
      </c>
      <c r="N125" s="3" t="s">
        <v>33</v>
      </c>
      <c r="O125" s="3"/>
      <c r="P125" s="10"/>
      <c r="Q125" s="3" t="s">
        <v>18</v>
      </c>
      <c r="R125" s="75">
        <f t="shared" si="3"/>
        <v>0.33618012422360249</v>
      </c>
    </row>
    <row r="126" spans="1:18" x14ac:dyDescent="0.3">
      <c r="A126" s="3" t="s">
        <v>185</v>
      </c>
      <c r="B126" s="3" t="s">
        <v>14</v>
      </c>
      <c r="C126" s="10">
        <v>45543</v>
      </c>
      <c r="D126" s="3" t="s">
        <v>39</v>
      </c>
      <c r="E126" s="3" t="s">
        <v>42</v>
      </c>
      <c r="F126" s="19">
        <v>3811</v>
      </c>
      <c r="G126" s="19">
        <v>866</v>
      </c>
      <c r="H126" s="19">
        <v>216</v>
      </c>
      <c r="I126" s="19">
        <v>34299</v>
      </c>
      <c r="J126" s="19">
        <v>34088</v>
      </c>
      <c r="K126" s="19">
        <v>233</v>
      </c>
      <c r="L126" s="19">
        <f t="shared" si="2"/>
        <v>4893</v>
      </c>
      <c r="M126" s="4" t="s">
        <v>27</v>
      </c>
      <c r="N126" s="3" t="s">
        <v>27</v>
      </c>
      <c r="O126" s="3"/>
      <c r="P126" s="10"/>
      <c r="Q126" s="3" t="s">
        <v>34</v>
      </c>
      <c r="R126" s="75">
        <f t="shared" si="3"/>
        <v>0.14265722032712325</v>
      </c>
    </row>
    <row r="127" spans="1:18" x14ac:dyDescent="0.3">
      <c r="A127" s="3" t="s">
        <v>186</v>
      </c>
      <c r="B127" s="3" t="s">
        <v>30</v>
      </c>
      <c r="C127" s="10">
        <v>45744</v>
      </c>
      <c r="D127" s="3" t="s">
        <v>39</v>
      </c>
      <c r="E127" s="3" t="s">
        <v>68</v>
      </c>
      <c r="F127" s="19">
        <v>4158</v>
      </c>
      <c r="G127" s="19">
        <v>167</v>
      </c>
      <c r="H127" s="19">
        <v>241</v>
      </c>
      <c r="I127" s="19">
        <v>45738</v>
      </c>
      <c r="J127" s="19">
        <v>45183</v>
      </c>
      <c r="K127" s="19">
        <v>142</v>
      </c>
      <c r="L127" s="19">
        <f t="shared" si="2"/>
        <v>4566</v>
      </c>
      <c r="M127" s="4" t="s">
        <v>51</v>
      </c>
      <c r="N127" s="3" t="s">
        <v>51</v>
      </c>
      <c r="O127" s="3"/>
      <c r="P127" s="10"/>
      <c r="Q127" s="3" t="s">
        <v>397</v>
      </c>
      <c r="R127" s="75">
        <f t="shared" si="3"/>
        <v>9.9829463465827106E-2</v>
      </c>
    </row>
    <row r="128" spans="1:18" x14ac:dyDescent="0.3">
      <c r="A128" s="3" t="s">
        <v>187</v>
      </c>
      <c r="B128" s="3" t="s">
        <v>38</v>
      </c>
      <c r="C128" s="10">
        <v>45684</v>
      </c>
      <c r="D128" s="3" t="s">
        <v>15</v>
      </c>
      <c r="E128" s="3" t="s">
        <v>53</v>
      </c>
      <c r="F128" s="19">
        <v>3452</v>
      </c>
      <c r="G128" s="19">
        <v>652</v>
      </c>
      <c r="H128" s="19">
        <v>442</v>
      </c>
      <c r="I128" s="19">
        <v>65588</v>
      </c>
      <c r="J128" s="19">
        <v>65049</v>
      </c>
      <c r="K128" s="19">
        <v>158</v>
      </c>
      <c r="L128" s="19">
        <f t="shared" si="2"/>
        <v>4546</v>
      </c>
      <c r="M128" s="4" t="s">
        <v>51</v>
      </c>
      <c r="N128" s="3" t="s">
        <v>51</v>
      </c>
      <c r="O128" s="3"/>
      <c r="P128" s="10"/>
      <c r="Q128" s="3" t="s">
        <v>28</v>
      </c>
      <c r="R128" s="75">
        <f t="shared" si="3"/>
        <v>6.9311459413307311E-2</v>
      </c>
    </row>
    <row r="129" spans="1:18" x14ac:dyDescent="0.3">
      <c r="A129" s="3" t="s">
        <v>188</v>
      </c>
      <c r="B129" s="3" t="s">
        <v>14</v>
      </c>
      <c r="C129" s="10">
        <v>45667</v>
      </c>
      <c r="D129" s="3" t="s">
        <v>44</v>
      </c>
      <c r="E129" s="3" t="s">
        <v>92</v>
      </c>
      <c r="F129" s="19">
        <v>3092</v>
      </c>
      <c r="G129" s="19">
        <v>106</v>
      </c>
      <c r="H129" s="19">
        <v>291</v>
      </c>
      <c r="I129" s="19">
        <v>27828</v>
      </c>
      <c r="J129" s="19">
        <v>27217</v>
      </c>
      <c r="K129" s="19">
        <v>102</v>
      </c>
      <c r="L129" s="19">
        <f t="shared" si="2"/>
        <v>3489</v>
      </c>
      <c r="M129" s="4" t="s">
        <v>51</v>
      </c>
      <c r="N129" s="3" t="s">
        <v>51</v>
      </c>
      <c r="O129" s="3"/>
      <c r="P129" s="10"/>
      <c r="Q129" s="3" t="s">
        <v>397</v>
      </c>
      <c r="R129" s="75">
        <f t="shared" si="3"/>
        <v>0.12537731780940059</v>
      </c>
    </row>
    <row r="130" spans="1:18" x14ac:dyDescent="0.3">
      <c r="A130" s="3" t="s">
        <v>189</v>
      </c>
      <c r="B130" s="3" t="s">
        <v>14</v>
      </c>
      <c r="C130" s="10">
        <v>45494</v>
      </c>
      <c r="D130" s="3" t="s">
        <v>20</v>
      </c>
      <c r="E130" s="3" t="s">
        <v>21</v>
      </c>
      <c r="F130" s="19">
        <v>2147</v>
      </c>
      <c r="G130" s="19">
        <v>430</v>
      </c>
      <c r="H130" s="19">
        <v>393</v>
      </c>
      <c r="I130" s="19">
        <v>17176</v>
      </c>
      <c r="J130" s="19">
        <v>16483</v>
      </c>
      <c r="K130" s="19">
        <v>170</v>
      </c>
      <c r="L130" s="19">
        <f t="shared" si="2"/>
        <v>2970</v>
      </c>
      <c r="M130" s="4" t="s">
        <v>27</v>
      </c>
      <c r="N130" s="3" t="s">
        <v>27</v>
      </c>
      <c r="O130" s="3"/>
      <c r="P130" s="10"/>
      <c r="Q130" s="3" t="s">
        <v>397</v>
      </c>
      <c r="R130" s="75">
        <f t="shared" si="3"/>
        <v>0.17291569632044715</v>
      </c>
    </row>
    <row r="131" spans="1:18" x14ac:dyDescent="0.3">
      <c r="A131" s="3" t="s">
        <v>190</v>
      </c>
      <c r="B131" s="3" t="s">
        <v>25</v>
      </c>
      <c r="C131" s="10">
        <v>45564</v>
      </c>
      <c r="D131" s="3" t="s">
        <v>15</v>
      </c>
      <c r="E131" s="3" t="s">
        <v>26</v>
      </c>
      <c r="F131" s="19">
        <v>2936</v>
      </c>
      <c r="G131" s="19">
        <v>439</v>
      </c>
      <c r="H131" s="19">
        <v>44</v>
      </c>
      <c r="I131" s="19">
        <v>38168</v>
      </c>
      <c r="J131" s="19">
        <v>37571</v>
      </c>
      <c r="K131" s="19">
        <v>22</v>
      </c>
      <c r="L131" s="19">
        <f t="shared" ref="L131:L194" si="4">SUM($F131:$H131)</f>
        <v>3419</v>
      </c>
      <c r="M131" s="4" t="s">
        <v>33</v>
      </c>
      <c r="N131" s="3" t="s">
        <v>33</v>
      </c>
      <c r="O131" s="3"/>
      <c r="P131" s="10"/>
      <c r="Q131" s="3" t="s">
        <v>34</v>
      </c>
      <c r="R131" s="75">
        <f t="shared" ref="R131:R194" si="5">SUM(F131:H131)/I131</f>
        <v>8.9577656675749323E-2</v>
      </c>
    </row>
    <row r="132" spans="1:18" x14ac:dyDescent="0.3">
      <c r="A132" s="3" t="s">
        <v>191</v>
      </c>
      <c r="B132" s="3" t="s">
        <v>30</v>
      </c>
      <c r="C132" s="10">
        <v>45586</v>
      </c>
      <c r="D132" s="3" t="s">
        <v>15</v>
      </c>
      <c r="E132" s="3" t="s">
        <v>64</v>
      </c>
      <c r="F132" s="19">
        <v>4840</v>
      </c>
      <c r="G132" s="19">
        <v>658</v>
      </c>
      <c r="H132" s="19">
        <v>211</v>
      </c>
      <c r="I132" s="19">
        <v>43560</v>
      </c>
      <c r="J132" s="19">
        <v>43225</v>
      </c>
      <c r="K132" s="19">
        <v>57</v>
      </c>
      <c r="L132" s="19">
        <f t="shared" si="4"/>
        <v>5709</v>
      </c>
      <c r="M132" s="4" t="s">
        <v>51</v>
      </c>
      <c r="N132" s="3" t="s">
        <v>51</v>
      </c>
      <c r="O132" s="3"/>
      <c r="P132" s="10"/>
      <c r="Q132" s="3" t="s">
        <v>28</v>
      </c>
      <c r="R132" s="75">
        <f t="shared" si="5"/>
        <v>0.13106060606060607</v>
      </c>
    </row>
    <row r="133" spans="1:18" x14ac:dyDescent="0.3">
      <c r="A133" s="3" t="s">
        <v>192</v>
      </c>
      <c r="B133" s="3" t="s">
        <v>30</v>
      </c>
      <c r="C133" s="10">
        <v>45720</v>
      </c>
      <c r="D133" s="3" t="s">
        <v>31</v>
      </c>
      <c r="E133" s="3" t="s">
        <v>32</v>
      </c>
      <c r="F133" s="19">
        <v>1947</v>
      </c>
      <c r="G133" s="19">
        <v>842</v>
      </c>
      <c r="H133" s="19">
        <v>101</v>
      </c>
      <c r="I133" s="19">
        <v>21417</v>
      </c>
      <c r="J133" s="19">
        <v>20967</v>
      </c>
      <c r="K133" s="19">
        <v>186</v>
      </c>
      <c r="L133" s="19">
        <f t="shared" si="4"/>
        <v>2890</v>
      </c>
      <c r="M133" s="4" t="s">
        <v>51</v>
      </c>
      <c r="N133" s="3" t="s">
        <v>51</v>
      </c>
      <c r="O133" s="3"/>
      <c r="P133" s="10"/>
      <c r="Q133" s="3" t="s">
        <v>23</v>
      </c>
      <c r="R133" s="75">
        <f t="shared" si="5"/>
        <v>0.13493953401503478</v>
      </c>
    </row>
    <row r="134" spans="1:18" x14ac:dyDescent="0.3">
      <c r="A134" s="3" t="s">
        <v>193</v>
      </c>
      <c r="B134" s="3" t="s">
        <v>38</v>
      </c>
      <c r="C134" s="10">
        <v>45694</v>
      </c>
      <c r="D134" s="3" t="s">
        <v>44</v>
      </c>
      <c r="E134" s="3" t="s">
        <v>49</v>
      </c>
      <c r="F134" s="19">
        <v>2072</v>
      </c>
      <c r="G134" s="19">
        <v>532</v>
      </c>
      <c r="H134" s="19">
        <v>71</v>
      </c>
      <c r="I134" s="19">
        <v>37296</v>
      </c>
      <c r="J134" s="19">
        <v>36467</v>
      </c>
      <c r="K134" s="19">
        <v>25</v>
      </c>
      <c r="L134" s="19">
        <f t="shared" si="4"/>
        <v>2675</v>
      </c>
      <c r="M134" s="4" t="s">
        <v>27</v>
      </c>
      <c r="N134" s="3" t="s">
        <v>27</v>
      </c>
      <c r="O134" s="3"/>
      <c r="P134" s="10"/>
      <c r="Q134" s="3" t="s">
        <v>34</v>
      </c>
      <c r="R134" s="75">
        <f t="shared" si="5"/>
        <v>7.172350922350923E-2</v>
      </c>
    </row>
    <row r="135" spans="1:18" x14ac:dyDescent="0.3">
      <c r="A135" s="3" t="s">
        <v>194</v>
      </c>
      <c r="B135" s="3" t="s">
        <v>14</v>
      </c>
      <c r="C135" s="10">
        <v>45771</v>
      </c>
      <c r="D135" s="3" t="s">
        <v>15</v>
      </c>
      <c r="E135" s="3" t="s">
        <v>16</v>
      </c>
      <c r="F135" s="19">
        <v>3731</v>
      </c>
      <c r="G135" s="19">
        <v>115</v>
      </c>
      <c r="H135" s="19">
        <v>135</v>
      </c>
      <c r="I135" s="19">
        <v>55965</v>
      </c>
      <c r="J135" s="19">
        <v>55436</v>
      </c>
      <c r="K135" s="19">
        <v>103</v>
      </c>
      <c r="L135" s="19">
        <f t="shared" si="4"/>
        <v>3981</v>
      </c>
      <c r="M135" s="4" t="s">
        <v>27</v>
      </c>
      <c r="N135" s="3" t="s">
        <v>27</v>
      </c>
      <c r="O135" s="3"/>
      <c r="P135" s="10"/>
      <c r="Q135" s="3" t="s">
        <v>18</v>
      </c>
      <c r="R135" s="75">
        <f t="shared" si="5"/>
        <v>7.1133744304476013E-2</v>
      </c>
    </row>
    <row r="136" spans="1:18" x14ac:dyDescent="0.3">
      <c r="A136" s="3" t="s">
        <v>195</v>
      </c>
      <c r="B136" s="3" t="s">
        <v>38</v>
      </c>
      <c r="C136" s="10">
        <v>45624</v>
      </c>
      <c r="D136" s="3" t="s">
        <v>20</v>
      </c>
      <c r="E136" s="3" t="s">
        <v>47</v>
      </c>
      <c r="F136" s="19">
        <v>4213</v>
      </c>
      <c r="G136" s="19">
        <v>253</v>
      </c>
      <c r="H136" s="19">
        <v>434</v>
      </c>
      <c r="I136" s="19">
        <v>75834</v>
      </c>
      <c r="J136" s="19">
        <v>75437</v>
      </c>
      <c r="K136" s="19">
        <v>272</v>
      </c>
      <c r="L136" s="19">
        <f t="shared" si="4"/>
        <v>4900</v>
      </c>
      <c r="M136" s="4" t="s">
        <v>51</v>
      </c>
      <c r="N136" s="3" t="s">
        <v>51</v>
      </c>
      <c r="O136" s="3"/>
      <c r="P136" s="10"/>
      <c r="Q136" s="3" t="s">
        <v>34</v>
      </c>
      <c r="R136" s="75">
        <f t="shared" si="5"/>
        <v>6.461481657304112E-2</v>
      </c>
    </row>
    <row r="137" spans="1:18" x14ac:dyDescent="0.3">
      <c r="A137" s="3" t="s">
        <v>196</v>
      </c>
      <c r="B137" s="3" t="s">
        <v>30</v>
      </c>
      <c r="C137" s="10">
        <v>45484</v>
      </c>
      <c r="D137" s="3" t="s">
        <v>20</v>
      </c>
      <c r="E137" s="3" t="s">
        <v>82</v>
      </c>
      <c r="F137" s="19">
        <v>3134</v>
      </c>
      <c r="G137" s="19">
        <v>888</v>
      </c>
      <c r="H137" s="19">
        <v>444</v>
      </c>
      <c r="I137" s="19">
        <v>21938</v>
      </c>
      <c r="J137" s="19">
        <v>21337</v>
      </c>
      <c r="K137" s="19">
        <v>130</v>
      </c>
      <c r="L137" s="19">
        <f t="shared" si="4"/>
        <v>4466</v>
      </c>
      <c r="M137" s="4" t="s">
        <v>33</v>
      </c>
      <c r="N137" s="3" t="s">
        <v>33</v>
      </c>
      <c r="O137" s="3"/>
      <c r="P137" s="10"/>
      <c r="Q137" s="3" t="s">
        <v>34</v>
      </c>
      <c r="R137" s="75">
        <f t="shared" si="5"/>
        <v>0.20357370772176134</v>
      </c>
    </row>
    <row r="138" spans="1:18" x14ac:dyDescent="0.3">
      <c r="A138" s="3" t="s">
        <v>197</v>
      </c>
      <c r="B138" s="3" t="s">
        <v>38</v>
      </c>
      <c r="C138" s="10">
        <v>45504</v>
      </c>
      <c r="D138" s="3" t="s">
        <v>59</v>
      </c>
      <c r="E138" s="3" t="s">
        <v>60</v>
      </c>
      <c r="F138" s="19">
        <v>3008</v>
      </c>
      <c r="G138" s="19">
        <v>94</v>
      </c>
      <c r="H138" s="19">
        <v>37</v>
      </c>
      <c r="I138" s="19">
        <v>15040</v>
      </c>
      <c r="J138" s="19">
        <v>14639</v>
      </c>
      <c r="K138" s="19">
        <v>277</v>
      </c>
      <c r="L138" s="19">
        <f t="shared" si="4"/>
        <v>3139</v>
      </c>
      <c r="M138" s="4" t="s">
        <v>51</v>
      </c>
      <c r="N138" s="3" t="s">
        <v>51</v>
      </c>
      <c r="O138" s="3"/>
      <c r="P138" s="10"/>
      <c r="Q138" s="3" t="s">
        <v>397</v>
      </c>
      <c r="R138" s="75">
        <f t="shared" si="5"/>
        <v>0.20871010638297871</v>
      </c>
    </row>
    <row r="139" spans="1:18" x14ac:dyDescent="0.3">
      <c r="A139" s="3" t="s">
        <v>198</v>
      </c>
      <c r="B139" s="3" t="s">
        <v>14</v>
      </c>
      <c r="C139" s="10">
        <v>45745</v>
      </c>
      <c r="D139" s="3" t="s">
        <v>44</v>
      </c>
      <c r="E139" s="3" t="s">
        <v>92</v>
      </c>
      <c r="F139" s="19">
        <v>305</v>
      </c>
      <c r="G139" s="19">
        <v>187</v>
      </c>
      <c r="H139" s="19">
        <v>243</v>
      </c>
      <c r="I139" s="19">
        <v>4575</v>
      </c>
      <c r="J139" s="19">
        <v>3704</v>
      </c>
      <c r="K139" s="19">
        <v>234</v>
      </c>
      <c r="L139" s="19">
        <f t="shared" si="4"/>
        <v>735</v>
      </c>
      <c r="M139" s="4" t="s">
        <v>51</v>
      </c>
      <c r="N139" s="3" t="s">
        <v>51</v>
      </c>
      <c r="O139" s="3"/>
      <c r="P139" s="10"/>
      <c r="Q139" s="3" t="s">
        <v>28</v>
      </c>
      <c r="R139" s="75">
        <f t="shared" si="5"/>
        <v>0.16065573770491803</v>
      </c>
    </row>
    <row r="140" spans="1:18" x14ac:dyDescent="0.3">
      <c r="A140" s="3" t="s">
        <v>199</v>
      </c>
      <c r="B140" s="3" t="s">
        <v>25</v>
      </c>
      <c r="C140" s="10">
        <v>45594</v>
      </c>
      <c r="D140" s="3" t="s">
        <v>20</v>
      </c>
      <c r="E140" s="3" t="s">
        <v>77</v>
      </c>
      <c r="F140" s="19">
        <v>2746</v>
      </c>
      <c r="G140" s="19">
        <v>156</v>
      </c>
      <c r="H140" s="19">
        <v>203</v>
      </c>
      <c r="I140" s="19">
        <v>32952</v>
      </c>
      <c r="J140" s="19">
        <v>32147</v>
      </c>
      <c r="K140" s="19">
        <v>147</v>
      </c>
      <c r="L140" s="19">
        <f t="shared" si="4"/>
        <v>3105</v>
      </c>
      <c r="M140" s="4" t="s">
        <v>33</v>
      </c>
      <c r="N140" s="3" t="s">
        <v>33</v>
      </c>
      <c r="O140" s="3"/>
      <c r="P140" s="10"/>
      <c r="Q140" s="3" t="s">
        <v>18</v>
      </c>
      <c r="R140" s="75">
        <f t="shared" si="5"/>
        <v>9.422796795338674E-2</v>
      </c>
    </row>
    <row r="141" spans="1:18" x14ac:dyDescent="0.3">
      <c r="A141" s="3" t="s">
        <v>200</v>
      </c>
      <c r="B141" s="3" t="s">
        <v>38</v>
      </c>
      <c r="C141" s="10">
        <v>45488</v>
      </c>
      <c r="D141" s="3" t="s">
        <v>44</v>
      </c>
      <c r="E141" s="3" t="s">
        <v>49</v>
      </c>
      <c r="F141" s="19">
        <v>2291</v>
      </c>
      <c r="G141" s="19">
        <v>78</v>
      </c>
      <c r="H141" s="19">
        <v>485</v>
      </c>
      <c r="I141" s="19">
        <v>18328</v>
      </c>
      <c r="J141" s="19">
        <v>18101</v>
      </c>
      <c r="K141" s="19">
        <v>10</v>
      </c>
      <c r="L141" s="19">
        <f t="shared" si="4"/>
        <v>2854</v>
      </c>
      <c r="M141" s="4" t="s">
        <v>201</v>
      </c>
      <c r="N141" s="3" t="s">
        <v>33</v>
      </c>
      <c r="O141" s="3" t="s">
        <v>388</v>
      </c>
      <c r="P141" s="10"/>
      <c r="Q141" s="3" t="s">
        <v>23</v>
      </c>
      <c r="R141" s="75">
        <f t="shared" si="5"/>
        <v>0.15571802706241816</v>
      </c>
    </row>
    <row r="142" spans="1:18" x14ac:dyDescent="0.3">
      <c r="A142" s="3" t="s">
        <v>202</v>
      </c>
      <c r="B142" s="3" t="s">
        <v>14</v>
      </c>
      <c r="C142" s="10">
        <v>45535</v>
      </c>
      <c r="D142" s="3" t="s">
        <v>44</v>
      </c>
      <c r="E142" s="3" t="s">
        <v>92</v>
      </c>
      <c r="F142" s="19">
        <v>3170</v>
      </c>
      <c r="G142" s="19">
        <v>857</v>
      </c>
      <c r="H142" s="19">
        <v>379</v>
      </c>
      <c r="I142" s="19">
        <v>19020</v>
      </c>
      <c r="J142" s="19">
        <v>18559</v>
      </c>
      <c r="K142" s="19">
        <v>240</v>
      </c>
      <c r="L142" s="19">
        <f t="shared" si="4"/>
        <v>4406</v>
      </c>
      <c r="M142" s="4" t="s">
        <v>51</v>
      </c>
      <c r="N142" s="3" t="s">
        <v>51</v>
      </c>
      <c r="O142" s="3"/>
      <c r="P142" s="10"/>
      <c r="Q142" s="3" t="s">
        <v>397</v>
      </c>
      <c r="R142" s="75">
        <f t="shared" si="5"/>
        <v>0.2316508937960042</v>
      </c>
    </row>
    <row r="143" spans="1:18" x14ac:dyDescent="0.3">
      <c r="A143" s="3" t="s">
        <v>203</v>
      </c>
      <c r="B143" s="3" t="s">
        <v>25</v>
      </c>
      <c r="C143" s="10">
        <v>45741</v>
      </c>
      <c r="D143" s="3" t="s">
        <v>31</v>
      </c>
      <c r="E143" s="3" t="s">
        <v>105</v>
      </c>
      <c r="F143" s="19">
        <v>2070</v>
      </c>
      <c r="G143" s="19">
        <v>275</v>
      </c>
      <c r="H143" s="19">
        <v>386</v>
      </c>
      <c r="I143" s="19">
        <v>39330</v>
      </c>
      <c r="J143" s="19">
        <v>38627</v>
      </c>
      <c r="K143" s="19">
        <v>114</v>
      </c>
      <c r="L143" s="19">
        <f t="shared" si="4"/>
        <v>2731</v>
      </c>
      <c r="M143" s="4" t="s">
        <v>51</v>
      </c>
      <c r="N143" s="3" t="s">
        <v>51</v>
      </c>
      <c r="O143" s="3"/>
      <c r="P143" s="10"/>
      <c r="Q143" s="3" t="s">
        <v>34</v>
      </c>
      <c r="R143" s="75">
        <f t="shared" si="5"/>
        <v>6.9438087973557078E-2</v>
      </c>
    </row>
    <row r="144" spans="1:18" x14ac:dyDescent="0.3">
      <c r="A144" s="3" t="s">
        <v>204</v>
      </c>
      <c r="B144" s="3" t="s">
        <v>25</v>
      </c>
      <c r="C144" s="10">
        <v>45567</v>
      </c>
      <c r="D144" s="3" t="s">
        <v>39</v>
      </c>
      <c r="E144" s="3" t="s">
        <v>55</v>
      </c>
      <c r="F144" s="19">
        <v>80</v>
      </c>
      <c r="G144" s="19">
        <v>362</v>
      </c>
      <c r="H144" s="19">
        <v>80</v>
      </c>
      <c r="I144" s="19">
        <v>1040</v>
      </c>
      <c r="J144" s="19">
        <v>349</v>
      </c>
      <c r="K144" s="19">
        <v>117</v>
      </c>
      <c r="L144" s="19">
        <f t="shared" si="4"/>
        <v>522</v>
      </c>
      <c r="M144" s="4" t="s">
        <v>27</v>
      </c>
      <c r="N144" s="3" t="s">
        <v>27</v>
      </c>
      <c r="O144" s="3"/>
      <c r="P144" s="10"/>
      <c r="Q144" s="3" t="s">
        <v>28</v>
      </c>
      <c r="R144" s="75">
        <f t="shared" si="5"/>
        <v>0.50192307692307692</v>
      </c>
    </row>
    <row r="145" spans="1:18" x14ac:dyDescent="0.3">
      <c r="A145" s="3" t="s">
        <v>205</v>
      </c>
      <c r="B145" s="3" t="s">
        <v>25</v>
      </c>
      <c r="C145" s="10">
        <v>45593</v>
      </c>
      <c r="D145" s="3" t="s">
        <v>31</v>
      </c>
      <c r="E145" s="3" t="s">
        <v>105</v>
      </c>
      <c r="F145" s="19">
        <v>4929</v>
      </c>
      <c r="G145" s="19">
        <v>749</v>
      </c>
      <c r="H145" s="19">
        <v>452</v>
      </c>
      <c r="I145" s="19">
        <v>93651</v>
      </c>
      <c r="J145" s="19">
        <v>92810</v>
      </c>
      <c r="K145" s="19">
        <v>66</v>
      </c>
      <c r="L145" s="19">
        <f t="shared" si="4"/>
        <v>6130</v>
      </c>
      <c r="M145" s="4" t="s">
        <v>33</v>
      </c>
      <c r="N145" s="3" t="s">
        <v>33</v>
      </c>
      <c r="O145" s="3"/>
      <c r="P145" s="10"/>
      <c r="Q145" s="3" t="s">
        <v>34</v>
      </c>
      <c r="R145" s="75">
        <f t="shared" si="5"/>
        <v>6.5455787978772245E-2</v>
      </c>
    </row>
    <row r="146" spans="1:18" x14ac:dyDescent="0.3">
      <c r="A146" s="3" t="s">
        <v>206</v>
      </c>
      <c r="B146" s="3" t="s">
        <v>30</v>
      </c>
      <c r="C146" s="10">
        <v>45516</v>
      </c>
      <c r="D146" s="3" t="s">
        <v>39</v>
      </c>
      <c r="E146" s="3" t="s">
        <v>68</v>
      </c>
      <c r="F146" s="19">
        <v>1878</v>
      </c>
      <c r="G146" s="19">
        <v>62</v>
      </c>
      <c r="H146" s="19">
        <v>179</v>
      </c>
      <c r="I146" s="19">
        <v>37560</v>
      </c>
      <c r="J146" s="19">
        <v>36874</v>
      </c>
      <c r="K146" s="19">
        <v>142</v>
      </c>
      <c r="L146" s="19">
        <f t="shared" si="4"/>
        <v>2119</v>
      </c>
      <c r="M146" s="4" t="s">
        <v>27</v>
      </c>
      <c r="N146" s="3" t="s">
        <v>27</v>
      </c>
      <c r="O146" s="3"/>
      <c r="P146" s="10"/>
      <c r="Q146" s="3" t="s">
        <v>34</v>
      </c>
      <c r="R146" s="75">
        <f t="shared" si="5"/>
        <v>5.6416400425985093E-2</v>
      </c>
    </row>
    <row r="147" spans="1:18" x14ac:dyDescent="0.3">
      <c r="A147" s="3" t="s">
        <v>207</v>
      </c>
      <c r="B147" s="3" t="s">
        <v>25</v>
      </c>
      <c r="C147" s="10">
        <v>45448</v>
      </c>
      <c r="D147" s="3" t="s">
        <v>15</v>
      </c>
      <c r="E147" s="3" t="s">
        <v>26</v>
      </c>
      <c r="F147" s="19">
        <v>3065</v>
      </c>
      <c r="G147" s="19">
        <v>772</v>
      </c>
      <c r="H147" s="19">
        <v>142</v>
      </c>
      <c r="I147" s="19">
        <v>18390</v>
      </c>
      <c r="J147" s="19">
        <v>17875</v>
      </c>
      <c r="K147" s="19">
        <v>200</v>
      </c>
      <c r="L147" s="19">
        <f t="shared" si="4"/>
        <v>3979</v>
      </c>
      <c r="M147" s="4" t="s">
        <v>208</v>
      </c>
      <c r="N147" s="3" t="s">
        <v>33</v>
      </c>
      <c r="O147" s="3" t="s">
        <v>392</v>
      </c>
      <c r="P147" s="10"/>
      <c r="Q147" s="3" t="s">
        <v>397</v>
      </c>
      <c r="R147" s="75">
        <f t="shared" si="5"/>
        <v>0.21636759108210984</v>
      </c>
    </row>
    <row r="148" spans="1:18" x14ac:dyDescent="0.3">
      <c r="A148" s="3" t="s">
        <v>209</v>
      </c>
      <c r="B148" s="3" t="s">
        <v>30</v>
      </c>
      <c r="C148" s="10">
        <v>45586</v>
      </c>
      <c r="D148" s="3" t="s">
        <v>15</v>
      </c>
      <c r="E148" s="3" t="s">
        <v>64</v>
      </c>
      <c r="F148" s="19">
        <v>3256</v>
      </c>
      <c r="G148" s="19">
        <v>459</v>
      </c>
      <c r="H148" s="19">
        <v>266</v>
      </c>
      <c r="I148" s="19">
        <v>26048</v>
      </c>
      <c r="J148" s="19">
        <v>25529</v>
      </c>
      <c r="K148" s="19">
        <v>143</v>
      </c>
      <c r="L148" s="19">
        <f t="shared" si="4"/>
        <v>3981</v>
      </c>
      <c r="M148" s="4" t="s">
        <v>27</v>
      </c>
      <c r="N148" s="3" t="s">
        <v>27</v>
      </c>
      <c r="O148" s="3"/>
      <c r="P148" s="10"/>
      <c r="Q148" s="3" t="s">
        <v>23</v>
      </c>
      <c r="R148" s="75">
        <f t="shared" si="5"/>
        <v>0.15283323095823095</v>
      </c>
    </row>
    <row r="149" spans="1:18" x14ac:dyDescent="0.3">
      <c r="A149" s="3" t="s">
        <v>210</v>
      </c>
      <c r="B149" s="3" t="s">
        <v>30</v>
      </c>
      <c r="C149" s="10">
        <v>45762</v>
      </c>
      <c r="D149" s="3" t="s">
        <v>59</v>
      </c>
      <c r="E149" s="3" t="s">
        <v>66</v>
      </c>
      <c r="F149" s="19">
        <v>4133</v>
      </c>
      <c r="G149" s="19">
        <v>466</v>
      </c>
      <c r="H149" s="19">
        <v>327</v>
      </c>
      <c r="I149" s="19">
        <v>24798</v>
      </c>
      <c r="J149" s="19">
        <v>24620</v>
      </c>
      <c r="K149" s="19">
        <v>176</v>
      </c>
      <c r="L149" s="19">
        <f t="shared" si="4"/>
        <v>4926</v>
      </c>
      <c r="M149" s="4" t="s">
        <v>33</v>
      </c>
      <c r="N149" s="3" t="s">
        <v>33</v>
      </c>
      <c r="O149" s="3"/>
      <c r="P149" s="10"/>
      <c r="Q149" s="3" t="s">
        <v>34</v>
      </c>
      <c r="R149" s="75">
        <f t="shared" si="5"/>
        <v>0.19864505202032423</v>
      </c>
    </row>
    <row r="150" spans="1:18" x14ac:dyDescent="0.3">
      <c r="A150" s="3" t="s">
        <v>211</v>
      </c>
      <c r="B150" s="3" t="s">
        <v>14</v>
      </c>
      <c r="C150" s="10">
        <v>45459</v>
      </c>
      <c r="D150" s="3" t="s">
        <v>59</v>
      </c>
      <c r="E150" s="3" t="s">
        <v>99</v>
      </c>
      <c r="F150" s="19">
        <v>1702</v>
      </c>
      <c r="G150" s="19">
        <v>750</v>
      </c>
      <c r="H150" s="19">
        <v>179</v>
      </c>
      <c r="I150" s="19">
        <v>34040</v>
      </c>
      <c r="J150" s="19">
        <v>33174</v>
      </c>
      <c r="K150" s="19">
        <v>76</v>
      </c>
      <c r="L150" s="19">
        <f t="shared" si="4"/>
        <v>2631</v>
      </c>
      <c r="M150" s="4" t="s">
        <v>33</v>
      </c>
      <c r="N150" s="3" t="s">
        <v>33</v>
      </c>
      <c r="O150" s="3"/>
      <c r="P150" s="10"/>
      <c r="Q150" s="3" t="s">
        <v>18</v>
      </c>
      <c r="R150" s="75">
        <f t="shared" si="5"/>
        <v>7.7291421856639245E-2</v>
      </c>
    </row>
    <row r="151" spans="1:18" x14ac:dyDescent="0.3">
      <c r="A151" s="3" t="s">
        <v>212</v>
      </c>
      <c r="B151" s="3" t="s">
        <v>25</v>
      </c>
      <c r="C151" s="10">
        <v>45526</v>
      </c>
      <c r="D151" s="3" t="s">
        <v>39</v>
      </c>
      <c r="E151" s="3" t="s">
        <v>55</v>
      </c>
      <c r="F151" s="19">
        <v>4295</v>
      </c>
      <c r="G151" s="19">
        <v>853</v>
      </c>
      <c r="H151" s="19">
        <v>325</v>
      </c>
      <c r="I151" s="19">
        <v>85900</v>
      </c>
      <c r="J151" s="19">
        <v>85788</v>
      </c>
      <c r="K151" s="19">
        <v>290</v>
      </c>
      <c r="L151" s="19">
        <f t="shared" si="4"/>
        <v>5473</v>
      </c>
      <c r="M151" s="4" t="s">
        <v>27</v>
      </c>
      <c r="N151" s="3" t="s">
        <v>27</v>
      </c>
      <c r="O151" s="3"/>
      <c r="P151" s="10"/>
      <c r="Q151" s="3" t="s">
        <v>34</v>
      </c>
      <c r="R151" s="75">
        <f t="shared" si="5"/>
        <v>6.3713620488940623E-2</v>
      </c>
    </row>
    <row r="152" spans="1:18" x14ac:dyDescent="0.3">
      <c r="A152" s="3" t="s">
        <v>213</v>
      </c>
      <c r="B152" s="3" t="s">
        <v>30</v>
      </c>
      <c r="C152" s="10">
        <v>45499</v>
      </c>
      <c r="D152" s="3" t="s">
        <v>44</v>
      </c>
      <c r="E152" s="3" t="s">
        <v>140</v>
      </c>
      <c r="F152" s="19">
        <v>3559</v>
      </c>
      <c r="G152" s="19">
        <v>59</v>
      </c>
      <c r="H152" s="19">
        <v>289</v>
      </c>
      <c r="I152" s="19">
        <v>35590</v>
      </c>
      <c r="J152" s="19">
        <v>35105</v>
      </c>
      <c r="K152" s="19">
        <v>122</v>
      </c>
      <c r="L152" s="19">
        <f t="shared" si="4"/>
        <v>3907</v>
      </c>
      <c r="M152" s="4" t="s">
        <v>33</v>
      </c>
      <c r="N152" s="3" t="s">
        <v>33</v>
      </c>
      <c r="O152" s="3"/>
      <c r="P152" s="10"/>
      <c r="Q152" s="3" t="s">
        <v>18</v>
      </c>
      <c r="R152" s="75">
        <f t="shared" si="5"/>
        <v>0.10977802753582468</v>
      </c>
    </row>
    <row r="153" spans="1:18" x14ac:dyDescent="0.3">
      <c r="A153" s="3" t="s">
        <v>214</v>
      </c>
      <c r="B153" s="3" t="s">
        <v>38</v>
      </c>
      <c r="C153" s="10">
        <v>45769</v>
      </c>
      <c r="D153" s="3" t="s">
        <v>44</v>
      </c>
      <c r="E153" s="3" t="s">
        <v>49</v>
      </c>
      <c r="F153" s="19">
        <v>4804</v>
      </c>
      <c r="G153" s="19">
        <v>550</v>
      </c>
      <c r="H153" s="19">
        <v>270</v>
      </c>
      <c r="I153" s="19">
        <v>28824</v>
      </c>
      <c r="J153" s="19">
        <v>28370</v>
      </c>
      <c r="K153" s="19">
        <v>47</v>
      </c>
      <c r="L153" s="19">
        <f t="shared" si="4"/>
        <v>5624</v>
      </c>
      <c r="M153" s="4" t="s">
        <v>33</v>
      </c>
      <c r="N153" s="3" t="s">
        <v>33</v>
      </c>
      <c r="O153" s="3"/>
      <c r="P153" s="10"/>
      <c r="Q153" s="3" t="s">
        <v>34</v>
      </c>
      <c r="R153" s="75">
        <f t="shared" si="5"/>
        <v>0.19511518179295032</v>
      </c>
    </row>
    <row r="154" spans="1:18" x14ac:dyDescent="0.3">
      <c r="A154" s="3" t="s">
        <v>215</v>
      </c>
      <c r="B154" s="3" t="s">
        <v>14</v>
      </c>
      <c r="C154" s="10">
        <v>45658</v>
      </c>
      <c r="D154" s="3" t="s">
        <v>59</v>
      </c>
      <c r="E154" s="3" t="s">
        <v>99</v>
      </c>
      <c r="F154" s="19">
        <v>754</v>
      </c>
      <c r="G154" s="19">
        <v>197</v>
      </c>
      <c r="H154" s="19">
        <v>257</v>
      </c>
      <c r="I154" s="19">
        <v>6786</v>
      </c>
      <c r="J154" s="19">
        <v>6221</v>
      </c>
      <c r="K154" s="19">
        <v>212</v>
      </c>
      <c r="L154" s="19">
        <f t="shared" si="4"/>
        <v>1208</v>
      </c>
      <c r="M154" s="4" t="s">
        <v>27</v>
      </c>
      <c r="N154" s="3" t="s">
        <v>27</v>
      </c>
      <c r="O154" s="3"/>
      <c r="P154" s="10"/>
      <c r="Q154" s="3" t="s">
        <v>28</v>
      </c>
      <c r="R154" s="75">
        <f t="shared" si="5"/>
        <v>0.17801355732390214</v>
      </c>
    </row>
    <row r="155" spans="1:18" x14ac:dyDescent="0.3">
      <c r="A155" s="3" t="s">
        <v>216</v>
      </c>
      <c r="B155" s="3" t="s">
        <v>30</v>
      </c>
      <c r="C155" s="10">
        <v>45574</v>
      </c>
      <c r="D155" s="3" t="s">
        <v>39</v>
      </c>
      <c r="E155" s="3" t="s">
        <v>68</v>
      </c>
      <c r="F155" s="19">
        <v>985</v>
      </c>
      <c r="G155" s="19">
        <v>932</v>
      </c>
      <c r="H155" s="19">
        <v>287</v>
      </c>
      <c r="I155" s="19">
        <v>6895</v>
      </c>
      <c r="J155" s="19">
        <v>6757</v>
      </c>
      <c r="K155" s="19">
        <v>64</v>
      </c>
      <c r="L155" s="19">
        <f t="shared" si="4"/>
        <v>2204</v>
      </c>
      <c r="M155" s="4" t="s">
        <v>51</v>
      </c>
      <c r="N155" s="3" t="s">
        <v>51</v>
      </c>
      <c r="O155" s="3"/>
      <c r="P155" s="10"/>
      <c r="Q155" s="3" t="s">
        <v>34</v>
      </c>
      <c r="R155" s="75">
        <f t="shared" si="5"/>
        <v>0.31965192168237855</v>
      </c>
    </row>
    <row r="156" spans="1:18" x14ac:dyDescent="0.3">
      <c r="A156" s="3" t="s">
        <v>217</v>
      </c>
      <c r="B156" s="3" t="s">
        <v>25</v>
      </c>
      <c r="C156" s="10">
        <v>45647</v>
      </c>
      <c r="D156" s="3" t="s">
        <v>44</v>
      </c>
      <c r="E156" s="3" t="s">
        <v>45</v>
      </c>
      <c r="F156" s="19">
        <v>2283</v>
      </c>
      <c r="G156" s="19">
        <v>210</v>
      </c>
      <c r="H156" s="19">
        <v>130</v>
      </c>
      <c r="I156" s="19">
        <v>22830</v>
      </c>
      <c r="J156" s="19">
        <v>22617</v>
      </c>
      <c r="K156" s="19">
        <v>143</v>
      </c>
      <c r="L156" s="19">
        <f t="shared" si="4"/>
        <v>2623</v>
      </c>
      <c r="M156" s="4" t="s">
        <v>51</v>
      </c>
      <c r="N156" s="3" t="s">
        <v>51</v>
      </c>
      <c r="O156" s="3"/>
      <c r="P156" s="10"/>
      <c r="Q156" s="3" t="s">
        <v>23</v>
      </c>
      <c r="R156" s="75">
        <f t="shared" si="5"/>
        <v>0.11489268506351293</v>
      </c>
    </row>
    <row r="157" spans="1:18" x14ac:dyDescent="0.3">
      <c r="A157" s="3" t="s">
        <v>218</v>
      </c>
      <c r="B157" s="3" t="s">
        <v>38</v>
      </c>
      <c r="C157" s="10">
        <v>45587</v>
      </c>
      <c r="D157" s="3" t="s">
        <v>39</v>
      </c>
      <c r="E157" s="3" t="s">
        <v>40</v>
      </c>
      <c r="F157" s="19">
        <v>3352</v>
      </c>
      <c r="G157" s="19">
        <v>941</v>
      </c>
      <c r="H157" s="19">
        <v>482</v>
      </c>
      <c r="I157" s="19">
        <v>43576</v>
      </c>
      <c r="J157" s="19">
        <v>43338</v>
      </c>
      <c r="K157" s="19">
        <v>240</v>
      </c>
      <c r="L157" s="19">
        <f t="shared" si="4"/>
        <v>4775</v>
      </c>
      <c r="M157" s="4" t="s">
        <v>51</v>
      </c>
      <c r="N157" s="3" t="s">
        <v>51</v>
      </c>
      <c r="O157" s="3"/>
      <c r="P157" s="10"/>
      <c r="Q157" s="3" t="s">
        <v>23</v>
      </c>
      <c r="R157" s="75">
        <f t="shared" si="5"/>
        <v>0.1095786671562328</v>
      </c>
    </row>
    <row r="158" spans="1:18" x14ac:dyDescent="0.3">
      <c r="A158" s="3" t="s">
        <v>219</v>
      </c>
      <c r="B158" s="3" t="s">
        <v>25</v>
      </c>
      <c r="C158" s="10">
        <v>45496</v>
      </c>
      <c r="D158" s="3" t="s">
        <v>31</v>
      </c>
      <c r="E158" s="3" t="s">
        <v>105</v>
      </c>
      <c r="F158" s="19">
        <v>4775</v>
      </c>
      <c r="G158" s="19">
        <v>173</v>
      </c>
      <c r="H158" s="19">
        <v>206</v>
      </c>
      <c r="I158" s="19">
        <v>47750</v>
      </c>
      <c r="J158" s="19">
        <v>47544</v>
      </c>
      <c r="K158" s="19">
        <v>187</v>
      </c>
      <c r="L158" s="19">
        <f t="shared" si="4"/>
        <v>5154</v>
      </c>
      <c r="M158" s="4" t="s">
        <v>51</v>
      </c>
      <c r="N158" s="3" t="s">
        <v>51</v>
      </c>
      <c r="O158" s="3"/>
      <c r="P158" s="10"/>
      <c r="Q158" s="3" t="s">
        <v>23</v>
      </c>
      <c r="R158" s="75">
        <f t="shared" si="5"/>
        <v>0.10793717277486911</v>
      </c>
    </row>
    <row r="159" spans="1:18" x14ac:dyDescent="0.3">
      <c r="A159" s="3" t="s">
        <v>220</v>
      </c>
      <c r="B159" s="3" t="s">
        <v>30</v>
      </c>
      <c r="C159" s="10">
        <v>45515</v>
      </c>
      <c r="D159" s="3" t="s">
        <v>31</v>
      </c>
      <c r="E159" s="3" t="s">
        <v>32</v>
      </c>
      <c r="F159" s="19">
        <v>1762</v>
      </c>
      <c r="G159" s="19">
        <v>405</v>
      </c>
      <c r="H159" s="19">
        <v>423</v>
      </c>
      <c r="I159" s="19">
        <v>22906</v>
      </c>
      <c r="J159" s="19">
        <v>21925</v>
      </c>
      <c r="K159" s="19">
        <v>25</v>
      </c>
      <c r="L159" s="19">
        <f t="shared" si="4"/>
        <v>2590</v>
      </c>
      <c r="M159" s="4" t="s">
        <v>27</v>
      </c>
      <c r="N159" s="3" t="s">
        <v>27</v>
      </c>
      <c r="O159" s="3"/>
      <c r="P159" s="10"/>
      <c r="Q159" s="3" t="s">
        <v>18</v>
      </c>
      <c r="R159" s="75">
        <f t="shared" si="5"/>
        <v>0.11307081114118571</v>
      </c>
    </row>
    <row r="160" spans="1:18" x14ac:dyDescent="0.3">
      <c r="A160" s="3" t="s">
        <v>221</v>
      </c>
      <c r="B160" s="3" t="s">
        <v>38</v>
      </c>
      <c r="C160" s="10">
        <v>45621</v>
      </c>
      <c r="D160" s="3" t="s">
        <v>31</v>
      </c>
      <c r="E160" s="3" t="s">
        <v>57</v>
      </c>
      <c r="F160" s="19">
        <v>2120</v>
      </c>
      <c r="G160" s="19">
        <v>158</v>
      </c>
      <c r="H160" s="19">
        <v>488</v>
      </c>
      <c r="I160" s="19">
        <v>12720</v>
      </c>
      <c r="J160" s="19">
        <v>12085</v>
      </c>
      <c r="K160" s="19">
        <v>17</v>
      </c>
      <c r="L160" s="19">
        <f t="shared" si="4"/>
        <v>2766</v>
      </c>
      <c r="M160" s="4" t="s">
        <v>51</v>
      </c>
      <c r="N160" s="3" t="s">
        <v>51</v>
      </c>
      <c r="O160" s="3"/>
      <c r="P160" s="10"/>
      <c r="Q160" s="3" t="s">
        <v>23</v>
      </c>
      <c r="R160" s="75">
        <f t="shared" si="5"/>
        <v>0.21745283018867925</v>
      </c>
    </row>
    <row r="161" spans="1:18" x14ac:dyDescent="0.3">
      <c r="A161" s="3" t="s">
        <v>222</v>
      </c>
      <c r="B161" s="3" t="s">
        <v>14</v>
      </c>
      <c r="C161" s="10">
        <v>45528</v>
      </c>
      <c r="D161" s="3" t="s">
        <v>59</v>
      </c>
      <c r="E161" s="3" t="s">
        <v>99</v>
      </c>
      <c r="F161" s="19">
        <v>1082</v>
      </c>
      <c r="G161" s="19">
        <v>209</v>
      </c>
      <c r="H161" s="19">
        <v>484</v>
      </c>
      <c r="I161" s="19">
        <v>19476</v>
      </c>
      <c r="J161" s="19">
        <v>18654</v>
      </c>
      <c r="K161" s="19">
        <v>20</v>
      </c>
      <c r="L161" s="19">
        <f t="shared" si="4"/>
        <v>1775</v>
      </c>
      <c r="M161" s="4" t="s">
        <v>27</v>
      </c>
      <c r="N161" s="3" t="s">
        <v>27</v>
      </c>
      <c r="O161" s="3"/>
      <c r="P161" s="10"/>
      <c r="Q161" s="3" t="s">
        <v>397</v>
      </c>
      <c r="R161" s="75">
        <f t="shared" si="5"/>
        <v>9.1137810638734856E-2</v>
      </c>
    </row>
    <row r="162" spans="1:18" x14ac:dyDescent="0.3">
      <c r="A162" s="3" t="s">
        <v>223</v>
      </c>
      <c r="B162" s="3" t="s">
        <v>14</v>
      </c>
      <c r="C162" s="10">
        <v>45707</v>
      </c>
      <c r="D162" s="3" t="s">
        <v>20</v>
      </c>
      <c r="E162" s="3" t="s">
        <v>21</v>
      </c>
      <c r="F162" s="19">
        <v>4671</v>
      </c>
      <c r="G162" s="19">
        <v>876</v>
      </c>
      <c r="H162" s="19">
        <v>366</v>
      </c>
      <c r="I162" s="19">
        <v>51381</v>
      </c>
      <c r="J162" s="19">
        <v>50565</v>
      </c>
      <c r="K162" s="19">
        <v>245</v>
      </c>
      <c r="L162" s="19">
        <f t="shared" si="4"/>
        <v>5913</v>
      </c>
      <c r="M162" s="4" t="s">
        <v>27</v>
      </c>
      <c r="N162" s="3" t="s">
        <v>27</v>
      </c>
      <c r="O162" s="3"/>
      <c r="P162" s="10"/>
      <c r="Q162" s="3" t="s">
        <v>34</v>
      </c>
      <c r="R162" s="75">
        <f t="shared" si="5"/>
        <v>0.11508145034156594</v>
      </c>
    </row>
    <row r="163" spans="1:18" x14ac:dyDescent="0.3">
      <c r="A163" s="3" t="s">
        <v>224</v>
      </c>
      <c r="B163" s="3" t="s">
        <v>38</v>
      </c>
      <c r="C163" s="10">
        <v>45748</v>
      </c>
      <c r="D163" s="3" t="s">
        <v>31</v>
      </c>
      <c r="E163" s="3" t="s">
        <v>57</v>
      </c>
      <c r="F163" s="19">
        <v>3430</v>
      </c>
      <c r="G163" s="19">
        <v>566</v>
      </c>
      <c r="H163" s="19">
        <v>164</v>
      </c>
      <c r="I163" s="19">
        <v>48020</v>
      </c>
      <c r="J163" s="19">
        <v>47305</v>
      </c>
      <c r="K163" s="19">
        <v>120</v>
      </c>
      <c r="L163" s="19">
        <f t="shared" si="4"/>
        <v>4160</v>
      </c>
      <c r="M163" s="4" t="s">
        <v>51</v>
      </c>
      <c r="N163" s="3" t="s">
        <v>51</v>
      </c>
      <c r="O163" s="3"/>
      <c r="P163" s="10"/>
      <c r="Q163" s="3" t="s">
        <v>397</v>
      </c>
      <c r="R163" s="75">
        <f t="shared" si="5"/>
        <v>8.6630570595585168E-2</v>
      </c>
    </row>
    <row r="164" spans="1:18" x14ac:dyDescent="0.3">
      <c r="A164" s="3" t="s">
        <v>225</v>
      </c>
      <c r="B164" s="3" t="s">
        <v>30</v>
      </c>
      <c r="C164" s="10">
        <v>45755</v>
      </c>
      <c r="D164" s="3" t="s">
        <v>44</v>
      </c>
      <c r="E164" s="3" t="s">
        <v>140</v>
      </c>
      <c r="F164" s="19">
        <v>4501</v>
      </c>
      <c r="G164" s="19">
        <v>375</v>
      </c>
      <c r="H164" s="19">
        <v>323</v>
      </c>
      <c r="I164" s="19">
        <v>22505</v>
      </c>
      <c r="J164" s="19">
        <v>21836</v>
      </c>
      <c r="K164" s="19">
        <v>132</v>
      </c>
      <c r="L164" s="19">
        <f t="shared" si="4"/>
        <v>5199</v>
      </c>
      <c r="M164" s="4" t="s">
        <v>27</v>
      </c>
      <c r="N164" s="3" t="s">
        <v>27</v>
      </c>
      <c r="O164" s="3"/>
      <c r="P164" s="10"/>
      <c r="Q164" s="3" t="s">
        <v>23</v>
      </c>
      <c r="R164" s="75">
        <f t="shared" si="5"/>
        <v>0.23101532992668297</v>
      </c>
    </row>
    <row r="165" spans="1:18" x14ac:dyDescent="0.3">
      <c r="A165" s="3" t="s">
        <v>226</v>
      </c>
      <c r="B165" s="3" t="s">
        <v>25</v>
      </c>
      <c r="C165" s="10">
        <v>45715</v>
      </c>
      <c r="D165" s="3" t="s">
        <v>20</v>
      </c>
      <c r="E165" s="3" t="s">
        <v>77</v>
      </c>
      <c r="F165" s="19">
        <v>4934</v>
      </c>
      <c r="G165" s="19">
        <v>971</v>
      </c>
      <c r="H165" s="19">
        <v>156</v>
      </c>
      <c r="I165" s="19">
        <v>39472</v>
      </c>
      <c r="J165" s="19">
        <v>39025</v>
      </c>
      <c r="K165" s="19">
        <v>169</v>
      </c>
      <c r="L165" s="19">
        <f t="shared" si="4"/>
        <v>6061</v>
      </c>
      <c r="M165" s="4" t="s">
        <v>72</v>
      </c>
      <c r="N165" s="3" t="s">
        <v>27</v>
      </c>
      <c r="O165" s="3" t="s">
        <v>392</v>
      </c>
      <c r="P165" s="10"/>
      <c r="Q165" s="3" t="s">
        <v>34</v>
      </c>
      <c r="R165" s="75">
        <f t="shared" si="5"/>
        <v>0.15355188488042157</v>
      </c>
    </row>
    <row r="166" spans="1:18" x14ac:dyDescent="0.3">
      <c r="A166" s="3" t="s">
        <v>227</v>
      </c>
      <c r="B166" s="3" t="s">
        <v>14</v>
      </c>
      <c r="C166" s="10">
        <v>45637</v>
      </c>
      <c r="D166" s="3" t="s">
        <v>20</v>
      </c>
      <c r="E166" s="3" t="s">
        <v>21</v>
      </c>
      <c r="F166" s="19">
        <v>3239</v>
      </c>
      <c r="G166" s="19">
        <v>43</v>
      </c>
      <c r="H166" s="19">
        <v>211</v>
      </c>
      <c r="I166" s="19">
        <v>22673</v>
      </c>
      <c r="J166" s="19">
        <v>22171</v>
      </c>
      <c r="K166" s="19">
        <v>230</v>
      </c>
      <c r="L166" s="19">
        <f t="shared" si="4"/>
        <v>3493</v>
      </c>
      <c r="M166" s="4" t="s">
        <v>27</v>
      </c>
      <c r="N166" s="3" t="s">
        <v>27</v>
      </c>
      <c r="O166" s="3"/>
      <c r="P166" s="10"/>
      <c r="Q166" s="3" t="s">
        <v>23</v>
      </c>
      <c r="R166" s="75">
        <f t="shared" si="5"/>
        <v>0.15405989502933004</v>
      </c>
    </row>
    <row r="167" spans="1:18" x14ac:dyDescent="0.3">
      <c r="A167" s="3" t="s">
        <v>228</v>
      </c>
      <c r="B167" s="3" t="s">
        <v>14</v>
      </c>
      <c r="C167" s="10">
        <v>45704</v>
      </c>
      <c r="D167" s="3" t="s">
        <v>15</v>
      </c>
      <c r="E167" s="3" t="s">
        <v>16</v>
      </c>
      <c r="F167" s="19">
        <v>1076</v>
      </c>
      <c r="G167" s="19">
        <v>313</v>
      </c>
      <c r="H167" s="19">
        <v>306</v>
      </c>
      <c r="I167" s="19">
        <v>11836</v>
      </c>
      <c r="J167" s="19">
        <v>11596</v>
      </c>
      <c r="K167" s="19">
        <v>104</v>
      </c>
      <c r="L167" s="19">
        <f t="shared" si="4"/>
        <v>1695</v>
      </c>
      <c r="M167" s="4" t="s">
        <v>51</v>
      </c>
      <c r="N167" s="3" t="s">
        <v>51</v>
      </c>
      <c r="O167" s="3"/>
      <c r="P167" s="10"/>
      <c r="Q167" s="3" t="s">
        <v>18</v>
      </c>
      <c r="R167" s="75">
        <f t="shared" si="5"/>
        <v>0.14320716458262928</v>
      </c>
    </row>
    <row r="168" spans="1:18" x14ac:dyDescent="0.3">
      <c r="A168" s="3" t="s">
        <v>229</v>
      </c>
      <c r="B168" s="3" t="s">
        <v>30</v>
      </c>
      <c r="C168" s="10">
        <v>45624</v>
      </c>
      <c r="D168" s="3" t="s">
        <v>20</v>
      </c>
      <c r="E168" s="3" t="s">
        <v>82</v>
      </c>
      <c r="F168" s="19">
        <v>4771</v>
      </c>
      <c r="G168" s="19">
        <v>818</v>
      </c>
      <c r="H168" s="19">
        <v>56</v>
      </c>
      <c r="I168" s="19">
        <v>57252</v>
      </c>
      <c r="J168" s="19">
        <v>56378</v>
      </c>
      <c r="K168" s="19">
        <v>150</v>
      </c>
      <c r="L168" s="19">
        <f t="shared" si="4"/>
        <v>5645</v>
      </c>
      <c r="M168" s="4" t="s">
        <v>51</v>
      </c>
      <c r="N168" s="3" t="s">
        <v>51</v>
      </c>
      <c r="O168" s="3"/>
      <c r="P168" s="10"/>
      <c r="Q168" s="3" t="s">
        <v>397</v>
      </c>
      <c r="R168" s="75">
        <f t="shared" si="5"/>
        <v>9.859917557465242E-2</v>
      </c>
    </row>
    <row r="169" spans="1:18" x14ac:dyDescent="0.3">
      <c r="A169" s="3" t="s">
        <v>230</v>
      </c>
      <c r="B169" s="3" t="s">
        <v>38</v>
      </c>
      <c r="C169" s="10">
        <v>45608</v>
      </c>
      <c r="D169" s="3" t="s">
        <v>20</v>
      </c>
      <c r="E169" s="3" t="s">
        <v>47</v>
      </c>
      <c r="F169" s="19">
        <v>2418</v>
      </c>
      <c r="G169" s="19">
        <v>754</v>
      </c>
      <c r="H169" s="19">
        <v>54</v>
      </c>
      <c r="I169" s="19">
        <v>43524</v>
      </c>
      <c r="J169" s="19">
        <v>42743</v>
      </c>
      <c r="K169" s="19">
        <v>182</v>
      </c>
      <c r="L169" s="19">
        <f t="shared" si="4"/>
        <v>3226</v>
      </c>
      <c r="M169" s="4" t="s">
        <v>33</v>
      </c>
      <c r="N169" s="3" t="s">
        <v>33</v>
      </c>
      <c r="O169" s="3"/>
      <c r="P169" s="10"/>
      <c r="Q169" s="3" t="s">
        <v>18</v>
      </c>
      <c r="R169" s="75">
        <f t="shared" si="5"/>
        <v>7.412002573292896E-2</v>
      </c>
    </row>
    <row r="170" spans="1:18" x14ac:dyDescent="0.3">
      <c r="A170" s="3" t="s">
        <v>231</v>
      </c>
      <c r="B170" s="3" t="s">
        <v>25</v>
      </c>
      <c r="C170" s="10">
        <v>45629</v>
      </c>
      <c r="D170" s="3" t="s">
        <v>59</v>
      </c>
      <c r="E170" s="3" t="s">
        <v>143</v>
      </c>
      <c r="F170" s="19">
        <v>3809</v>
      </c>
      <c r="G170" s="19">
        <v>273</v>
      </c>
      <c r="H170" s="19">
        <v>200</v>
      </c>
      <c r="I170" s="19">
        <v>34281</v>
      </c>
      <c r="J170" s="19">
        <v>33534</v>
      </c>
      <c r="K170" s="19">
        <v>83</v>
      </c>
      <c r="L170" s="19">
        <f t="shared" si="4"/>
        <v>4282</v>
      </c>
      <c r="M170" s="4" t="s">
        <v>33</v>
      </c>
      <c r="N170" s="3" t="s">
        <v>33</v>
      </c>
      <c r="O170" s="3"/>
      <c r="P170" s="10"/>
      <c r="Q170" s="3" t="s">
        <v>18</v>
      </c>
      <c r="R170" s="75">
        <f t="shared" si="5"/>
        <v>0.12490884163239112</v>
      </c>
    </row>
    <row r="171" spans="1:18" x14ac:dyDescent="0.3">
      <c r="A171" s="3" t="s">
        <v>232</v>
      </c>
      <c r="B171" s="3" t="s">
        <v>14</v>
      </c>
      <c r="C171" s="10">
        <v>45775</v>
      </c>
      <c r="D171" s="3" t="s">
        <v>20</v>
      </c>
      <c r="E171" s="3" t="s">
        <v>21</v>
      </c>
      <c r="F171" s="19">
        <v>3577</v>
      </c>
      <c r="G171" s="19">
        <v>596</v>
      </c>
      <c r="H171" s="19">
        <v>493</v>
      </c>
      <c r="I171" s="19">
        <v>67963</v>
      </c>
      <c r="J171" s="19">
        <v>67839</v>
      </c>
      <c r="K171" s="19">
        <v>53</v>
      </c>
      <c r="L171" s="19">
        <f t="shared" si="4"/>
        <v>4666</v>
      </c>
      <c r="M171" s="4" t="s">
        <v>27</v>
      </c>
      <c r="N171" s="3" t="s">
        <v>27</v>
      </c>
      <c r="O171" s="3"/>
      <c r="P171" s="10"/>
      <c r="Q171" s="3" t="s">
        <v>28</v>
      </c>
      <c r="R171" s="75">
        <f t="shared" si="5"/>
        <v>6.8655003457763777E-2</v>
      </c>
    </row>
    <row r="172" spans="1:18" x14ac:dyDescent="0.3">
      <c r="A172" s="3" t="s">
        <v>233</v>
      </c>
      <c r="B172" s="3" t="s">
        <v>25</v>
      </c>
      <c r="C172" s="10">
        <v>45657</v>
      </c>
      <c r="D172" s="3" t="s">
        <v>59</v>
      </c>
      <c r="E172" s="3" t="s">
        <v>143</v>
      </c>
      <c r="F172" s="19">
        <v>1018</v>
      </c>
      <c r="G172" s="19">
        <v>447</v>
      </c>
      <c r="H172" s="19">
        <v>332</v>
      </c>
      <c r="I172" s="19">
        <v>18324</v>
      </c>
      <c r="J172" s="19">
        <v>18164</v>
      </c>
      <c r="K172" s="19">
        <v>38</v>
      </c>
      <c r="L172" s="19">
        <f t="shared" si="4"/>
        <v>1797</v>
      </c>
      <c r="M172" s="4" t="s">
        <v>51</v>
      </c>
      <c r="N172" s="3" t="s">
        <v>51</v>
      </c>
      <c r="O172" s="3"/>
      <c r="P172" s="10"/>
      <c r="Q172" s="3" t="s">
        <v>23</v>
      </c>
      <c r="R172" s="75">
        <f t="shared" si="5"/>
        <v>9.8068107400130972E-2</v>
      </c>
    </row>
    <row r="173" spans="1:18" x14ac:dyDescent="0.3">
      <c r="A173" s="3" t="s">
        <v>234</v>
      </c>
      <c r="B173" s="3" t="s">
        <v>38</v>
      </c>
      <c r="C173" s="10">
        <v>45518</v>
      </c>
      <c r="D173" s="3" t="s">
        <v>39</v>
      </c>
      <c r="E173" s="3" t="s">
        <v>40</v>
      </c>
      <c r="F173" s="19">
        <v>3073</v>
      </c>
      <c r="G173" s="19">
        <v>553</v>
      </c>
      <c r="H173" s="19">
        <v>174</v>
      </c>
      <c r="I173" s="19">
        <v>52241</v>
      </c>
      <c r="J173" s="19">
        <v>51605</v>
      </c>
      <c r="K173" s="19">
        <v>246</v>
      </c>
      <c r="L173" s="19">
        <f t="shared" si="4"/>
        <v>3800</v>
      </c>
      <c r="M173" s="4" t="s">
        <v>33</v>
      </c>
      <c r="N173" s="3" t="s">
        <v>33</v>
      </c>
      <c r="O173" s="3"/>
      <c r="P173" s="10"/>
      <c r="Q173" s="3" t="s">
        <v>28</v>
      </c>
      <c r="R173" s="75">
        <f t="shared" si="5"/>
        <v>7.2739802071170159E-2</v>
      </c>
    </row>
    <row r="174" spans="1:18" x14ac:dyDescent="0.3">
      <c r="A174" s="3" t="s">
        <v>235</v>
      </c>
      <c r="B174" s="3" t="s">
        <v>14</v>
      </c>
      <c r="C174" s="10">
        <v>45631</v>
      </c>
      <c r="D174" s="3" t="s">
        <v>59</v>
      </c>
      <c r="E174" s="3" t="s">
        <v>99</v>
      </c>
      <c r="F174" s="19">
        <v>1330</v>
      </c>
      <c r="G174" s="19">
        <v>925</v>
      </c>
      <c r="H174" s="19">
        <v>35</v>
      </c>
      <c r="I174" s="19">
        <v>15960</v>
      </c>
      <c r="J174" s="19">
        <v>15379</v>
      </c>
      <c r="K174" s="19">
        <v>229</v>
      </c>
      <c r="L174" s="19">
        <f t="shared" si="4"/>
        <v>2290</v>
      </c>
      <c r="M174" s="4" t="s">
        <v>51</v>
      </c>
      <c r="N174" s="3" t="s">
        <v>51</v>
      </c>
      <c r="O174" s="3"/>
      <c r="P174" s="10"/>
      <c r="Q174" s="3" t="s">
        <v>28</v>
      </c>
      <c r="R174" s="75">
        <f t="shared" si="5"/>
        <v>0.14348370927318296</v>
      </c>
    </row>
    <row r="175" spans="1:18" x14ac:dyDescent="0.3">
      <c r="A175" s="3" t="s">
        <v>236</v>
      </c>
      <c r="B175" s="3" t="s">
        <v>38</v>
      </c>
      <c r="C175" s="10">
        <v>45465</v>
      </c>
      <c r="D175" s="3" t="s">
        <v>20</v>
      </c>
      <c r="E175" s="3" t="s">
        <v>47</v>
      </c>
      <c r="F175" s="19">
        <v>3828</v>
      </c>
      <c r="G175" s="19">
        <v>148</v>
      </c>
      <c r="H175" s="19">
        <v>253</v>
      </c>
      <c r="I175" s="19">
        <v>30624</v>
      </c>
      <c r="J175" s="19">
        <v>30229</v>
      </c>
      <c r="K175" s="19">
        <v>235</v>
      </c>
      <c r="L175" s="19">
        <f t="shared" si="4"/>
        <v>4229</v>
      </c>
      <c r="M175" s="4" t="s">
        <v>33</v>
      </c>
      <c r="N175" s="3" t="s">
        <v>33</v>
      </c>
      <c r="O175" s="3"/>
      <c r="P175" s="10"/>
      <c r="Q175" s="3" t="s">
        <v>397</v>
      </c>
      <c r="R175" s="75">
        <f t="shared" si="5"/>
        <v>0.13809430512016718</v>
      </c>
    </row>
    <row r="176" spans="1:18" x14ac:dyDescent="0.3">
      <c r="A176" s="3" t="s">
        <v>237</v>
      </c>
      <c r="B176" s="3" t="s">
        <v>30</v>
      </c>
      <c r="C176" s="10">
        <v>45674</v>
      </c>
      <c r="D176" s="3" t="s">
        <v>15</v>
      </c>
      <c r="E176" s="3" t="s">
        <v>64</v>
      </c>
      <c r="F176" s="19">
        <v>142</v>
      </c>
      <c r="G176" s="19">
        <v>784</v>
      </c>
      <c r="H176" s="19">
        <v>183</v>
      </c>
      <c r="I176" s="19">
        <v>1704</v>
      </c>
      <c r="J176" s="19">
        <v>995</v>
      </c>
      <c r="K176" s="19">
        <v>154</v>
      </c>
      <c r="L176" s="19">
        <f t="shared" si="4"/>
        <v>1109</v>
      </c>
      <c r="M176" s="4" t="s">
        <v>51</v>
      </c>
      <c r="N176" s="3" t="s">
        <v>51</v>
      </c>
      <c r="O176" s="3"/>
      <c r="P176" s="10"/>
      <c r="Q176" s="3" t="s">
        <v>34</v>
      </c>
      <c r="R176" s="75">
        <f t="shared" si="5"/>
        <v>0.6508215962441315</v>
      </c>
    </row>
    <row r="177" spans="1:18" x14ac:dyDescent="0.3">
      <c r="A177" s="3" t="s">
        <v>238</v>
      </c>
      <c r="B177" s="3" t="s">
        <v>38</v>
      </c>
      <c r="C177" s="10">
        <v>45463</v>
      </c>
      <c r="D177" s="3" t="s">
        <v>59</v>
      </c>
      <c r="E177" s="3" t="s">
        <v>60</v>
      </c>
      <c r="F177" s="19">
        <v>3798</v>
      </c>
      <c r="G177" s="19">
        <v>31</v>
      </c>
      <c r="H177" s="19">
        <v>279</v>
      </c>
      <c r="I177" s="19">
        <v>75960</v>
      </c>
      <c r="J177" s="19">
        <v>75813</v>
      </c>
      <c r="K177" s="19">
        <v>266</v>
      </c>
      <c r="L177" s="19">
        <f t="shared" si="4"/>
        <v>4108</v>
      </c>
      <c r="M177" s="4" t="s">
        <v>27</v>
      </c>
      <c r="N177" s="3" t="s">
        <v>27</v>
      </c>
      <c r="O177" s="3"/>
      <c r="P177" s="10"/>
      <c r="Q177" s="3" t="s">
        <v>18</v>
      </c>
      <c r="R177" s="75">
        <f t="shared" si="5"/>
        <v>5.4081095313322801E-2</v>
      </c>
    </row>
    <row r="178" spans="1:18" x14ac:dyDescent="0.3">
      <c r="A178" s="3" t="s">
        <v>239</v>
      </c>
      <c r="B178" s="3" t="s">
        <v>30</v>
      </c>
      <c r="C178" s="10">
        <v>45483</v>
      </c>
      <c r="D178" s="3" t="s">
        <v>39</v>
      </c>
      <c r="E178" s="3" t="s">
        <v>68</v>
      </c>
      <c r="F178" s="19">
        <v>3099</v>
      </c>
      <c r="G178" s="19">
        <v>694</v>
      </c>
      <c r="H178" s="19">
        <v>171</v>
      </c>
      <c r="I178" s="19">
        <v>43386</v>
      </c>
      <c r="J178" s="19">
        <v>42921</v>
      </c>
      <c r="K178" s="19">
        <v>52</v>
      </c>
      <c r="L178" s="19">
        <f t="shared" si="4"/>
        <v>3964</v>
      </c>
      <c r="M178" s="4" t="s">
        <v>27</v>
      </c>
      <c r="N178" s="3" t="s">
        <v>27</v>
      </c>
      <c r="O178" s="3"/>
      <c r="P178" s="10"/>
      <c r="Q178" s="3" t="s">
        <v>28</v>
      </c>
      <c r="R178" s="75">
        <f t="shared" si="5"/>
        <v>9.1365878393951966E-2</v>
      </c>
    </row>
    <row r="179" spans="1:18" x14ac:dyDescent="0.3">
      <c r="A179" s="3" t="s">
        <v>240</v>
      </c>
      <c r="B179" s="3" t="s">
        <v>30</v>
      </c>
      <c r="C179" s="10">
        <v>45603</v>
      </c>
      <c r="D179" s="3" t="s">
        <v>59</v>
      </c>
      <c r="E179" s="3" t="s">
        <v>66</v>
      </c>
      <c r="F179" s="19">
        <v>129</v>
      </c>
      <c r="G179" s="19">
        <v>643</v>
      </c>
      <c r="H179" s="19">
        <v>136</v>
      </c>
      <c r="I179" s="19">
        <v>1290</v>
      </c>
      <c r="J179" s="19">
        <v>839</v>
      </c>
      <c r="K179" s="19">
        <v>238</v>
      </c>
      <c r="L179" s="19">
        <f t="shared" si="4"/>
        <v>908</v>
      </c>
      <c r="M179" s="4" t="s">
        <v>27</v>
      </c>
      <c r="N179" s="3" t="s">
        <v>27</v>
      </c>
      <c r="O179" s="3"/>
      <c r="P179" s="10"/>
      <c r="Q179" s="3" t="s">
        <v>34</v>
      </c>
      <c r="R179" s="75">
        <f t="shared" si="5"/>
        <v>0.70387596899224802</v>
      </c>
    </row>
    <row r="180" spans="1:18" x14ac:dyDescent="0.3">
      <c r="A180" s="3" t="s">
        <v>241</v>
      </c>
      <c r="B180" s="3" t="s">
        <v>38</v>
      </c>
      <c r="C180" s="10">
        <v>45488</v>
      </c>
      <c r="D180" s="3" t="s">
        <v>39</v>
      </c>
      <c r="E180" s="3" t="s">
        <v>40</v>
      </c>
      <c r="F180" s="19">
        <v>3796</v>
      </c>
      <c r="G180" s="19">
        <v>667</v>
      </c>
      <c r="H180" s="19">
        <v>395</v>
      </c>
      <c r="I180" s="19">
        <v>64532</v>
      </c>
      <c r="J180" s="19">
        <v>63550</v>
      </c>
      <c r="K180" s="19">
        <v>292</v>
      </c>
      <c r="L180" s="19">
        <f t="shared" si="4"/>
        <v>4858</v>
      </c>
      <c r="M180" s="4" t="s">
        <v>27</v>
      </c>
      <c r="N180" s="3" t="s">
        <v>27</v>
      </c>
      <c r="O180" s="3"/>
      <c r="P180" s="10"/>
      <c r="Q180" s="3" t="s">
        <v>397</v>
      </c>
      <c r="R180" s="75">
        <f t="shared" si="5"/>
        <v>7.5280481001673588E-2</v>
      </c>
    </row>
    <row r="181" spans="1:18" x14ac:dyDescent="0.3">
      <c r="A181" s="3" t="s">
        <v>242</v>
      </c>
      <c r="B181" s="3" t="s">
        <v>25</v>
      </c>
      <c r="C181" s="10">
        <v>45629</v>
      </c>
      <c r="D181" s="3" t="s">
        <v>20</v>
      </c>
      <c r="E181" s="3" t="s">
        <v>77</v>
      </c>
      <c r="F181" s="19">
        <v>3711</v>
      </c>
      <c r="G181" s="19">
        <v>352</v>
      </c>
      <c r="H181" s="19">
        <v>290</v>
      </c>
      <c r="I181" s="19">
        <v>48243</v>
      </c>
      <c r="J181" s="19">
        <v>47579</v>
      </c>
      <c r="K181" s="19">
        <v>11</v>
      </c>
      <c r="L181" s="19">
        <f t="shared" si="4"/>
        <v>4353</v>
      </c>
      <c r="M181" s="4" t="s">
        <v>27</v>
      </c>
      <c r="N181" s="3" t="s">
        <v>27</v>
      </c>
      <c r="O181" s="3"/>
      <c r="P181" s="10"/>
      <c r="Q181" s="3" t="s">
        <v>18</v>
      </c>
      <c r="R181" s="75">
        <f t="shared" si="5"/>
        <v>9.023070704558174E-2</v>
      </c>
    </row>
    <row r="182" spans="1:18" x14ac:dyDescent="0.3">
      <c r="A182" s="3" t="s">
        <v>243</v>
      </c>
      <c r="B182" s="3" t="s">
        <v>25</v>
      </c>
      <c r="C182" s="10">
        <v>45737</v>
      </c>
      <c r="D182" s="3" t="s">
        <v>44</v>
      </c>
      <c r="E182" s="3" t="s">
        <v>45</v>
      </c>
      <c r="F182" s="19">
        <v>606</v>
      </c>
      <c r="G182" s="19">
        <v>789</v>
      </c>
      <c r="H182" s="19">
        <v>470</v>
      </c>
      <c r="I182" s="19">
        <v>7878</v>
      </c>
      <c r="J182" s="19">
        <v>7389</v>
      </c>
      <c r="K182" s="19">
        <v>239</v>
      </c>
      <c r="L182" s="19">
        <f t="shared" si="4"/>
        <v>1865</v>
      </c>
      <c r="M182" s="4" t="s">
        <v>33</v>
      </c>
      <c r="N182" s="3" t="s">
        <v>33</v>
      </c>
      <c r="O182" s="3"/>
      <c r="P182" s="10"/>
      <c r="Q182" s="3" t="s">
        <v>28</v>
      </c>
      <c r="R182" s="75">
        <f t="shared" si="5"/>
        <v>0.23673521198273673</v>
      </c>
    </row>
    <row r="183" spans="1:18" x14ac:dyDescent="0.3">
      <c r="A183" s="3" t="s">
        <v>244</v>
      </c>
      <c r="B183" s="3" t="s">
        <v>38</v>
      </c>
      <c r="C183" s="10">
        <v>45504</v>
      </c>
      <c r="D183" s="3" t="s">
        <v>44</v>
      </c>
      <c r="E183" s="3" t="s">
        <v>49</v>
      </c>
      <c r="F183" s="19">
        <v>4689</v>
      </c>
      <c r="G183" s="19">
        <v>134</v>
      </c>
      <c r="H183" s="19">
        <v>403</v>
      </c>
      <c r="I183" s="19">
        <v>51579</v>
      </c>
      <c r="J183" s="19">
        <v>50924</v>
      </c>
      <c r="K183" s="19">
        <v>173</v>
      </c>
      <c r="L183" s="19">
        <f t="shared" si="4"/>
        <v>5226</v>
      </c>
      <c r="M183" s="4" t="s">
        <v>27</v>
      </c>
      <c r="N183" s="3" t="s">
        <v>27</v>
      </c>
      <c r="O183" s="3"/>
      <c r="P183" s="10"/>
      <c r="Q183" s="3" t="s">
        <v>34</v>
      </c>
      <c r="R183" s="75">
        <f t="shared" si="5"/>
        <v>0.10132030477519921</v>
      </c>
    </row>
    <row r="184" spans="1:18" x14ac:dyDescent="0.3">
      <c r="A184" s="3" t="s">
        <v>245</v>
      </c>
      <c r="B184" s="3" t="s">
        <v>30</v>
      </c>
      <c r="C184" s="10">
        <v>45643</v>
      </c>
      <c r="D184" s="3" t="s">
        <v>31</v>
      </c>
      <c r="E184" s="3" t="s">
        <v>32</v>
      </c>
      <c r="F184" s="19">
        <v>360</v>
      </c>
      <c r="G184" s="19">
        <v>590</v>
      </c>
      <c r="H184" s="19">
        <v>393</v>
      </c>
      <c r="I184" s="19">
        <v>4680</v>
      </c>
      <c r="J184" s="19">
        <v>4322</v>
      </c>
      <c r="K184" s="19">
        <v>208</v>
      </c>
      <c r="L184" s="19">
        <f t="shared" si="4"/>
        <v>1343</v>
      </c>
      <c r="M184" s="4" t="s">
        <v>51</v>
      </c>
      <c r="N184" s="3" t="s">
        <v>51</v>
      </c>
      <c r="O184" s="3"/>
      <c r="P184" s="10"/>
      <c r="Q184" s="3" t="s">
        <v>23</v>
      </c>
      <c r="R184" s="75">
        <f t="shared" si="5"/>
        <v>0.28696581196581195</v>
      </c>
    </row>
    <row r="185" spans="1:18" x14ac:dyDescent="0.3">
      <c r="A185" s="3" t="s">
        <v>246</v>
      </c>
      <c r="B185" s="3" t="s">
        <v>14</v>
      </c>
      <c r="C185" s="10">
        <v>45501</v>
      </c>
      <c r="D185" s="3" t="s">
        <v>44</v>
      </c>
      <c r="E185" s="3" t="s">
        <v>92</v>
      </c>
      <c r="F185" s="19">
        <v>3215</v>
      </c>
      <c r="G185" s="19">
        <v>960</v>
      </c>
      <c r="H185" s="19">
        <v>202</v>
      </c>
      <c r="I185" s="19">
        <v>32150</v>
      </c>
      <c r="J185" s="19">
        <v>31404</v>
      </c>
      <c r="K185" s="19">
        <v>251</v>
      </c>
      <c r="L185" s="19">
        <f t="shared" si="4"/>
        <v>4377</v>
      </c>
      <c r="M185" s="4" t="s">
        <v>33</v>
      </c>
      <c r="N185" s="3" t="s">
        <v>33</v>
      </c>
      <c r="O185" s="3"/>
      <c r="P185" s="10"/>
      <c r="Q185" s="3" t="s">
        <v>18</v>
      </c>
      <c r="R185" s="75">
        <f t="shared" si="5"/>
        <v>0.13614307931570763</v>
      </c>
    </row>
    <row r="186" spans="1:18" x14ac:dyDescent="0.3">
      <c r="A186" s="3" t="s">
        <v>247</v>
      </c>
      <c r="B186" s="3" t="s">
        <v>30</v>
      </c>
      <c r="C186" s="10">
        <v>45668</v>
      </c>
      <c r="D186" s="3" t="s">
        <v>39</v>
      </c>
      <c r="E186" s="3" t="s">
        <v>68</v>
      </c>
      <c r="F186" s="19">
        <v>4523</v>
      </c>
      <c r="G186" s="19">
        <v>61</v>
      </c>
      <c r="H186" s="19">
        <v>157</v>
      </c>
      <c r="I186" s="19">
        <v>49753</v>
      </c>
      <c r="J186" s="19">
        <v>49329</v>
      </c>
      <c r="K186" s="19">
        <v>71</v>
      </c>
      <c r="L186" s="19">
        <f t="shared" si="4"/>
        <v>4741</v>
      </c>
      <c r="M186" s="4" t="s">
        <v>33</v>
      </c>
      <c r="N186" s="3" t="s">
        <v>33</v>
      </c>
      <c r="O186" s="3"/>
      <c r="P186" s="10"/>
      <c r="Q186" s="3" t="s">
        <v>397</v>
      </c>
      <c r="R186" s="75">
        <f t="shared" si="5"/>
        <v>9.5290736237010829E-2</v>
      </c>
    </row>
    <row r="187" spans="1:18" x14ac:dyDescent="0.3">
      <c r="A187" s="3" t="s">
        <v>248</v>
      </c>
      <c r="B187" s="3" t="s">
        <v>38</v>
      </c>
      <c r="C187" s="10">
        <v>45528</v>
      </c>
      <c r="D187" s="3" t="s">
        <v>39</v>
      </c>
      <c r="E187" s="3" t="s">
        <v>40</v>
      </c>
      <c r="F187" s="19">
        <v>4292</v>
      </c>
      <c r="G187" s="19">
        <v>51</v>
      </c>
      <c r="H187" s="19">
        <v>392</v>
      </c>
      <c r="I187" s="19">
        <v>55796</v>
      </c>
      <c r="J187" s="19">
        <v>54826</v>
      </c>
      <c r="K187" s="19">
        <v>264</v>
      </c>
      <c r="L187" s="19">
        <f t="shared" si="4"/>
        <v>4735</v>
      </c>
      <c r="M187" s="4" t="s">
        <v>33</v>
      </c>
      <c r="N187" s="3" t="s">
        <v>33</v>
      </c>
      <c r="O187" s="3"/>
      <c r="P187" s="10"/>
      <c r="Q187" s="3" t="s">
        <v>28</v>
      </c>
      <c r="R187" s="75">
        <f t="shared" si="5"/>
        <v>8.4862714173059003E-2</v>
      </c>
    </row>
    <row r="188" spans="1:18" x14ac:dyDescent="0.3">
      <c r="A188" s="3" t="s">
        <v>249</v>
      </c>
      <c r="B188" s="3" t="s">
        <v>14</v>
      </c>
      <c r="C188" s="10">
        <v>45648</v>
      </c>
      <c r="D188" s="3" t="s">
        <v>15</v>
      </c>
      <c r="E188" s="3" t="s">
        <v>16</v>
      </c>
      <c r="F188" s="19">
        <v>1644</v>
      </c>
      <c r="G188" s="19">
        <v>546</v>
      </c>
      <c r="H188" s="19">
        <v>150</v>
      </c>
      <c r="I188" s="19">
        <v>27948</v>
      </c>
      <c r="J188" s="19">
        <v>27184</v>
      </c>
      <c r="K188" s="19">
        <v>300</v>
      </c>
      <c r="L188" s="19">
        <f t="shared" si="4"/>
        <v>2340</v>
      </c>
      <c r="M188" s="4" t="s">
        <v>33</v>
      </c>
      <c r="N188" s="3" t="s">
        <v>33</v>
      </c>
      <c r="O188" s="3"/>
      <c r="P188" s="10"/>
      <c r="Q188" s="3" t="s">
        <v>28</v>
      </c>
      <c r="R188" s="75">
        <f t="shared" si="5"/>
        <v>8.3726921425504502E-2</v>
      </c>
    </row>
    <row r="189" spans="1:18" x14ac:dyDescent="0.3">
      <c r="A189" s="3" t="s">
        <v>250</v>
      </c>
      <c r="B189" s="3" t="s">
        <v>25</v>
      </c>
      <c r="C189" s="10">
        <v>45449</v>
      </c>
      <c r="D189" s="3" t="s">
        <v>15</v>
      </c>
      <c r="E189" s="3" t="s">
        <v>26</v>
      </c>
      <c r="F189" s="19">
        <v>2728</v>
      </c>
      <c r="G189" s="19">
        <v>533</v>
      </c>
      <c r="H189" s="19">
        <v>215</v>
      </c>
      <c r="I189" s="19">
        <v>40920</v>
      </c>
      <c r="J189" s="19">
        <v>40816</v>
      </c>
      <c r="K189" s="19">
        <v>137</v>
      </c>
      <c r="L189" s="19">
        <f t="shared" si="4"/>
        <v>3476</v>
      </c>
      <c r="M189" s="4" t="s">
        <v>51</v>
      </c>
      <c r="N189" s="3" t="s">
        <v>51</v>
      </c>
      <c r="O189" s="3"/>
      <c r="P189" s="10"/>
      <c r="Q189" s="3" t="s">
        <v>23</v>
      </c>
      <c r="R189" s="75">
        <f t="shared" si="5"/>
        <v>8.4946236559139784E-2</v>
      </c>
    </row>
    <row r="190" spans="1:18" x14ac:dyDescent="0.3">
      <c r="A190" s="3" t="s">
        <v>251</v>
      </c>
      <c r="B190" s="3" t="s">
        <v>38</v>
      </c>
      <c r="C190" s="10">
        <v>45740</v>
      </c>
      <c r="D190" s="3" t="s">
        <v>15</v>
      </c>
      <c r="E190" s="3" t="s">
        <v>53</v>
      </c>
      <c r="F190" s="19">
        <v>3360</v>
      </c>
      <c r="G190" s="19">
        <v>525</v>
      </c>
      <c r="H190" s="19">
        <v>500</v>
      </c>
      <c r="I190" s="19">
        <v>60480</v>
      </c>
      <c r="J190" s="19">
        <v>59610</v>
      </c>
      <c r="K190" s="19">
        <v>192</v>
      </c>
      <c r="L190" s="19">
        <f t="shared" si="4"/>
        <v>4385</v>
      </c>
      <c r="M190" s="4" t="s">
        <v>27</v>
      </c>
      <c r="N190" s="3" t="s">
        <v>27</v>
      </c>
      <c r="O190" s="3"/>
      <c r="P190" s="10"/>
      <c r="Q190" s="3" t="s">
        <v>18</v>
      </c>
      <c r="R190" s="75">
        <f t="shared" si="5"/>
        <v>7.2503306878306875E-2</v>
      </c>
    </row>
    <row r="191" spans="1:18" x14ac:dyDescent="0.3">
      <c r="A191" s="3" t="s">
        <v>252</v>
      </c>
      <c r="B191" s="3" t="s">
        <v>25</v>
      </c>
      <c r="C191" s="10">
        <v>45569</v>
      </c>
      <c r="D191" s="3" t="s">
        <v>20</v>
      </c>
      <c r="E191" s="3" t="s">
        <v>77</v>
      </c>
      <c r="F191" s="19">
        <v>1963</v>
      </c>
      <c r="G191" s="19">
        <v>213</v>
      </c>
      <c r="H191" s="19">
        <v>19</v>
      </c>
      <c r="I191" s="19">
        <v>39260</v>
      </c>
      <c r="J191" s="19">
        <v>38771</v>
      </c>
      <c r="K191" s="19">
        <v>145</v>
      </c>
      <c r="L191" s="19">
        <f t="shared" si="4"/>
        <v>2195</v>
      </c>
      <c r="M191" s="4" t="s">
        <v>51</v>
      </c>
      <c r="N191" s="3" t="s">
        <v>51</v>
      </c>
      <c r="O191" s="3"/>
      <c r="P191" s="10"/>
      <c r="Q191" s="3" t="s">
        <v>397</v>
      </c>
      <c r="R191" s="75">
        <f t="shared" si="5"/>
        <v>5.5909322465613857E-2</v>
      </c>
    </row>
    <row r="192" spans="1:18" x14ac:dyDescent="0.3">
      <c r="A192" s="3" t="s">
        <v>253</v>
      </c>
      <c r="B192" s="3" t="s">
        <v>25</v>
      </c>
      <c r="C192" s="10">
        <v>45629</v>
      </c>
      <c r="D192" s="3" t="s">
        <v>31</v>
      </c>
      <c r="E192" s="3" t="s">
        <v>105</v>
      </c>
      <c r="F192" s="19">
        <v>4285</v>
      </c>
      <c r="G192" s="19">
        <v>886</v>
      </c>
      <c r="H192" s="19">
        <v>376</v>
      </c>
      <c r="I192" s="19">
        <v>55705</v>
      </c>
      <c r="J192" s="19">
        <v>55556</v>
      </c>
      <c r="K192" s="19">
        <v>51</v>
      </c>
      <c r="L192" s="19">
        <f t="shared" si="4"/>
        <v>5547</v>
      </c>
      <c r="M192" s="4" t="s">
        <v>51</v>
      </c>
      <c r="N192" s="3" t="s">
        <v>51</v>
      </c>
      <c r="O192" s="3"/>
      <c r="P192" s="10"/>
      <c r="Q192" s="3" t="s">
        <v>28</v>
      </c>
      <c r="R192" s="75">
        <f t="shared" si="5"/>
        <v>9.9578134817341346E-2</v>
      </c>
    </row>
    <row r="193" spans="1:18" x14ac:dyDescent="0.3">
      <c r="A193" s="3" t="s">
        <v>254</v>
      </c>
      <c r="B193" s="3" t="s">
        <v>30</v>
      </c>
      <c r="C193" s="10">
        <v>45625</v>
      </c>
      <c r="D193" s="3" t="s">
        <v>59</v>
      </c>
      <c r="E193" s="3" t="s">
        <v>66</v>
      </c>
      <c r="F193" s="19">
        <v>1176</v>
      </c>
      <c r="G193" s="19">
        <v>464</v>
      </c>
      <c r="H193" s="19">
        <v>394</v>
      </c>
      <c r="I193" s="19">
        <v>14112</v>
      </c>
      <c r="J193" s="19">
        <v>13588</v>
      </c>
      <c r="K193" s="19">
        <v>272</v>
      </c>
      <c r="L193" s="19">
        <f t="shared" si="4"/>
        <v>2034</v>
      </c>
      <c r="M193" s="4" t="s">
        <v>33</v>
      </c>
      <c r="N193" s="3" t="s">
        <v>33</v>
      </c>
      <c r="O193" s="3"/>
      <c r="P193" s="10"/>
      <c r="Q193" s="3" t="s">
        <v>397</v>
      </c>
      <c r="R193" s="75">
        <f t="shared" si="5"/>
        <v>0.1441326530612245</v>
      </c>
    </row>
    <row r="194" spans="1:18" x14ac:dyDescent="0.3">
      <c r="A194" s="3" t="s">
        <v>255</v>
      </c>
      <c r="B194" s="3" t="s">
        <v>14</v>
      </c>
      <c r="C194" s="10">
        <v>45546</v>
      </c>
      <c r="D194" s="3" t="s">
        <v>44</v>
      </c>
      <c r="E194" s="3" t="s">
        <v>92</v>
      </c>
      <c r="F194" s="19">
        <v>4858</v>
      </c>
      <c r="G194" s="19">
        <v>317</v>
      </c>
      <c r="H194" s="19">
        <v>129</v>
      </c>
      <c r="I194" s="19">
        <v>53438</v>
      </c>
      <c r="J194" s="19">
        <v>52687</v>
      </c>
      <c r="K194" s="19">
        <v>223</v>
      </c>
      <c r="L194" s="19">
        <f t="shared" si="4"/>
        <v>5304</v>
      </c>
      <c r="M194" s="4" t="s">
        <v>33</v>
      </c>
      <c r="N194" s="3" t="s">
        <v>33</v>
      </c>
      <c r="O194" s="3"/>
      <c r="P194" s="10"/>
      <c r="Q194" s="3" t="s">
        <v>28</v>
      </c>
      <c r="R194" s="75">
        <f t="shared" si="5"/>
        <v>9.9255211647142488E-2</v>
      </c>
    </row>
    <row r="195" spans="1:18" x14ac:dyDescent="0.3">
      <c r="A195" s="3" t="s">
        <v>256</v>
      </c>
      <c r="B195" s="3" t="s">
        <v>25</v>
      </c>
      <c r="C195" s="10">
        <v>45567</v>
      </c>
      <c r="D195" s="3" t="s">
        <v>31</v>
      </c>
      <c r="E195" s="3" t="s">
        <v>105</v>
      </c>
      <c r="F195" s="19">
        <v>4350</v>
      </c>
      <c r="G195" s="19">
        <v>771</v>
      </c>
      <c r="H195" s="19">
        <v>7</v>
      </c>
      <c r="I195" s="19">
        <v>60900</v>
      </c>
      <c r="J195" s="19">
        <v>60592</v>
      </c>
      <c r="K195" s="19">
        <v>195</v>
      </c>
      <c r="L195" s="19">
        <f t="shared" ref="L195:L258" si="6">SUM($F195:$H195)</f>
        <v>5128</v>
      </c>
      <c r="M195" s="4" t="s">
        <v>33</v>
      </c>
      <c r="N195" s="3" t="s">
        <v>33</v>
      </c>
      <c r="O195" s="3"/>
      <c r="P195" s="10"/>
      <c r="Q195" s="3" t="s">
        <v>18</v>
      </c>
      <c r="R195" s="75">
        <f t="shared" ref="R195:R258" si="7">SUM(F195:H195)/I195</f>
        <v>8.4203612479474554E-2</v>
      </c>
    </row>
    <row r="196" spans="1:18" x14ac:dyDescent="0.3">
      <c r="A196" s="3" t="s">
        <v>257</v>
      </c>
      <c r="B196" s="3" t="s">
        <v>30</v>
      </c>
      <c r="C196" s="10">
        <v>45519</v>
      </c>
      <c r="D196" s="3" t="s">
        <v>39</v>
      </c>
      <c r="E196" s="3" t="s">
        <v>68</v>
      </c>
      <c r="F196" s="19">
        <v>914</v>
      </c>
      <c r="G196" s="19">
        <v>464</v>
      </c>
      <c r="H196" s="19">
        <v>246</v>
      </c>
      <c r="I196" s="19">
        <v>11882</v>
      </c>
      <c r="J196" s="19">
        <v>11500</v>
      </c>
      <c r="K196" s="19">
        <v>282</v>
      </c>
      <c r="L196" s="19">
        <f t="shared" si="6"/>
        <v>1624</v>
      </c>
      <c r="M196" s="4" t="s">
        <v>141</v>
      </c>
      <c r="N196" s="3" t="s">
        <v>51</v>
      </c>
      <c r="O196" s="3" t="s">
        <v>27</v>
      </c>
      <c r="P196" s="10" t="s">
        <v>392</v>
      </c>
      <c r="Q196" s="3" t="s">
        <v>34</v>
      </c>
      <c r="R196" s="75">
        <f t="shared" si="7"/>
        <v>0.13667732704931829</v>
      </c>
    </row>
    <row r="197" spans="1:18" x14ac:dyDescent="0.3">
      <c r="A197" s="3" t="s">
        <v>258</v>
      </c>
      <c r="B197" s="3" t="s">
        <v>30</v>
      </c>
      <c r="C197" s="10">
        <v>45645</v>
      </c>
      <c r="D197" s="3" t="s">
        <v>20</v>
      </c>
      <c r="E197" s="3" t="s">
        <v>82</v>
      </c>
      <c r="F197" s="19">
        <v>1813</v>
      </c>
      <c r="G197" s="19">
        <v>623</v>
      </c>
      <c r="H197" s="19">
        <v>72</v>
      </c>
      <c r="I197" s="19">
        <v>19943</v>
      </c>
      <c r="J197" s="19">
        <v>18959</v>
      </c>
      <c r="K197" s="19">
        <v>85</v>
      </c>
      <c r="L197" s="19">
        <f t="shared" si="6"/>
        <v>2508</v>
      </c>
      <c r="M197" s="4" t="s">
        <v>33</v>
      </c>
      <c r="N197" s="3" t="s">
        <v>33</v>
      </c>
      <c r="O197" s="3"/>
      <c r="P197" s="10"/>
      <c r="Q197" s="3" t="s">
        <v>28</v>
      </c>
      <c r="R197" s="75">
        <f t="shared" si="7"/>
        <v>0.12575841147269717</v>
      </c>
    </row>
    <row r="198" spans="1:18" x14ac:dyDescent="0.3">
      <c r="A198" s="3" t="s">
        <v>259</v>
      </c>
      <c r="B198" s="3" t="s">
        <v>14</v>
      </c>
      <c r="C198" s="10">
        <v>45587</v>
      </c>
      <c r="D198" s="3" t="s">
        <v>15</v>
      </c>
      <c r="E198" s="3" t="s">
        <v>16</v>
      </c>
      <c r="F198" s="19">
        <v>4782</v>
      </c>
      <c r="G198" s="19">
        <v>721</v>
      </c>
      <c r="H198" s="19">
        <v>82</v>
      </c>
      <c r="I198" s="19">
        <v>86076</v>
      </c>
      <c r="J198" s="19">
        <v>85339</v>
      </c>
      <c r="K198" s="19">
        <v>19</v>
      </c>
      <c r="L198" s="19">
        <f t="shared" si="6"/>
        <v>5585</v>
      </c>
      <c r="M198" s="4" t="s">
        <v>33</v>
      </c>
      <c r="N198" s="3" t="s">
        <v>33</v>
      </c>
      <c r="O198" s="3"/>
      <c r="P198" s="10"/>
      <c r="Q198" s="3" t="s">
        <v>18</v>
      </c>
      <c r="R198" s="75">
        <f t="shared" si="7"/>
        <v>6.4884520656164318E-2</v>
      </c>
    </row>
    <row r="199" spans="1:18" x14ac:dyDescent="0.3">
      <c r="A199" s="3" t="s">
        <v>260</v>
      </c>
      <c r="B199" s="3" t="s">
        <v>14</v>
      </c>
      <c r="C199" s="10">
        <v>45549</v>
      </c>
      <c r="D199" s="3" t="s">
        <v>44</v>
      </c>
      <c r="E199" s="3" t="s">
        <v>92</v>
      </c>
      <c r="F199" s="19">
        <v>1048</v>
      </c>
      <c r="G199" s="19">
        <v>374</v>
      </c>
      <c r="H199" s="19">
        <v>450</v>
      </c>
      <c r="I199" s="19">
        <v>9432</v>
      </c>
      <c r="J199" s="19">
        <v>8882</v>
      </c>
      <c r="K199" s="19">
        <v>158</v>
      </c>
      <c r="L199" s="19">
        <f t="shared" si="6"/>
        <v>1872</v>
      </c>
      <c r="M199" s="4" t="s">
        <v>27</v>
      </c>
      <c r="N199" s="3" t="s">
        <v>27</v>
      </c>
      <c r="O199" s="3"/>
      <c r="P199" s="10"/>
      <c r="Q199" s="3" t="s">
        <v>28</v>
      </c>
      <c r="R199" s="75">
        <f t="shared" si="7"/>
        <v>0.19847328244274809</v>
      </c>
    </row>
    <row r="200" spans="1:18" x14ac:dyDescent="0.3">
      <c r="A200" s="3" t="s">
        <v>261</v>
      </c>
      <c r="B200" s="3" t="s">
        <v>25</v>
      </c>
      <c r="C200" s="10">
        <v>45626</v>
      </c>
      <c r="D200" s="3" t="s">
        <v>39</v>
      </c>
      <c r="E200" s="3" t="s">
        <v>55</v>
      </c>
      <c r="F200" s="19">
        <v>2509</v>
      </c>
      <c r="G200" s="19">
        <v>324</v>
      </c>
      <c r="H200" s="19">
        <v>171</v>
      </c>
      <c r="I200" s="19">
        <v>35126</v>
      </c>
      <c r="J200" s="19">
        <v>34685</v>
      </c>
      <c r="K200" s="19">
        <v>277</v>
      </c>
      <c r="L200" s="19">
        <f t="shared" si="6"/>
        <v>3004</v>
      </c>
      <c r="M200" s="4" t="s">
        <v>27</v>
      </c>
      <c r="N200" s="3" t="s">
        <v>27</v>
      </c>
      <c r="O200" s="3"/>
      <c r="P200" s="10"/>
      <c r="Q200" s="3" t="s">
        <v>23</v>
      </c>
      <c r="R200" s="75">
        <f t="shared" si="7"/>
        <v>8.5520696919660646E-2</v>
      </c>
    </row>
    <row r="201" spans="1:18" x14ac:dyDescent="0.3">
      <c r="A201" s="3" t="s">
        <v>262</v>
      </c>
      <c r="B201" s="3" t="s">
        <v>38</v>
      </c>
      <c r="C201" s="10">
        <v>45754</v>
      </c>
      <c r="D201" s="3" t="s">
        <v>15</v>
      </c>
      <c r="E201" s="3" t="s">
        <v>53</v>
      </c>
      <c r="F201" s="19">
        <v>3718</v>
      </c>
      <c r="G201" s="19">
        <v>385</v>
      </c>
      <c r="H201" s="19">
        <v>310</v>
      </c>
      <c r="I201" s="19">
        <v>70642</v>
      </c>
      <c r="J201" s="19">
        <v>69749</v>
      </c>
      <c r="K201" s="19">
        <v>233</v>
      </c>
      <c r="L201" s="19">
        <f t="shared" si="6"/>
        <v>4413</v>
      </c>
      <c r="M201" s="4" t="s">
        <v>27</v>
      </c>
      <c r="N201" s="3" t="s">
        <v>27</v>
      </c>
      <c r="O201" s="3"/>
      <c r="P201" s="10"/>
      <c r="Q201" s="3" t="s">
        <v>23</v>
      </c>
      <c r="R201" s="75">
        <f t="shared" si="7"/>
        <v>6.246991874522239E-2</v>
      </c>
    </row>
    <row r="202" spans="1:18" x14ac:dyDescent="0.3">
      <c r="A202" s="3" t="s">
        <v>263</v>
      </c>
      <c r="B202" s="3" t="s">
        <v>14</v>
      </c>
      <c r="C202" s="10">
        <v>45672</v>
      </c>
      <c r="D202" s="3" t="s">
        <v>15</v>
      </c>
      <c r="E202" s="3" t="s">
        <v>16</v>
      </c>
      <c r="F202" s="19">
        <v>802</v>
      </c>
      <c r="G202" s="19">
        <v>262</v>
      </c>
      <c r="H202" s="19">
        <v>244</v>
      </c>
      <c r="I202" s="19">
        <v>14436</v>
      </c>
      <c r="J202" s="19">
        <v>14280</v>
      </c>
      <c r="K202" s="19">
        <v>49</v>
      </c>
      <c r="L202" s="19">
        <f t="shared" si="6"/>
        <v>1308</v>
      </c>
      <c r="M202" s="4" t="s">
        <v>33</v>
      </c>
      <c r="N202" s="3" t="s">
        <v>33</v>
      </c>
      <c r="O202" s="3"/>
      <c r="P202" s="10"/>
      <c r="Q202" s="3" t="s">
        <v>18</v>
      </c>
      <c r="R202" s="75">
        <f t="shared" si="7"/>
        <v>9.0606816292601824E-2</v>
      </c>
    </row>
    <row r="203" spans="1:18" x14ac:dyDescent="0.3">
      <c r="A203" s="3" t="s">
        <v>264</v>
      </c>
      <c r="B203" s="3" t="s">
        <v>38</v>
      </c>
      <c r="C203" s="10">
        <v>45445</v>
      </c>
      <c r="D203" s="3" t="s">
        <v>44</v>
      </c>
      <c r="E203" s="3" t="s">
        <v>49</v>
      </c>
      <c r="F203" s="19">
        <v>1871</v>
      </c>
      <c r="G203" s="19">
        <v>252</v>
      </c>
      <c r="H203" s="19">
        <v>335</v>
      </c>
      <c r="I203" s="19">
        <v>29936</v>
      </c>
      <c r="J203" s="19">
        <v>29576</v>
      </c>
      <c r="K203" s="19">
        <v>288</v>
      </c>
      <c r="L203" s="19">
        <f t="shared" si="6"/>
        <v>2458</v>
      </c>
      <c r="M203" s="4" t="s">
        <v>33</v>
      </c>
      <c r="N203" s="3" t="s">
        <v>33</v>
      </c>
      <c r="O203" s="3"/>
      <c r="P203" s="10"/>
      <c r="Q203" s="3" t="s">
        <v>28</v>
      </c>
      <c r="R203" s="75">
        <f t="shared" si="7"/>
        <v>8.2108498129342594E-2</v>
      </c>
    </row>
    <row r="204" spans="1:18" x14ac:dyDescent="0.3">
      <c r="A204" s="3" t="s">
        <v>265</v>
      </c>
      <c r="B204" s="3" t="s">
        <v>30</v>
      </c>
      <c r="C204" s="10">
        <v>45617</v>
      </c>
      <c r="D204" s="3" t="s">
        <v>39</v>
      </c>
      <c r="E204" s="3" t="s">
        <v>68</v>
      </c>
      <c r="F204" s="19">
        <v>3773</v>
      </c>
      <c r="G204" s="19">
        <v>299</v>
      </c>
      <c r="H204" s="19">
        <v>38</v>
      </c>
      <c r="I204" s="19">
        <v>71687</v>
      </c>
      <c r="J204" s="19">
        <v>71447</v>
      </c>
      <c r="K204" s="19">
        <v>286</v>
      </c>
      <c r="L204" s="19">
        <f t="shared" si="6"/>
        <v>4110</v>
      </c>
      <c r="M204" s="4" t="s">
        <v>51</v>
      </c>
      <c r="N204" s="3" t="s">
        <v>51</v>
      </c>
      <c r="O204" s="3"/>
      <c r="P204" s="10"/>
      <c r="Q204" s="3" t="s">
        <v>18</v>
      </c>
      <c r="R204" s="75">
        <f t="shared" si="7"/>
        <v>5.7332570758993957E-2</v>
      </c>
    </row>
    <row r="205" spans="1:18" x14ac:dyDescent="0.3">
      <c r="A205" s="3" t="s">
        <v>266</v>
      </c>
      <c r="B205" s="3" t="s">
        <v>30</v>
      </c>
      <c r="C205" s="10">
        <v>45658</v>
      </c>
      <c r="D205" s="3" t="s">
        <v>39</v>
      </c>
      <c r="E205" s="3" t="s">
        <v>68</v>
      </c>
      <c r="F205" s="19">
        <v>2234</v>
      </c>
      <c r="G205" s="19">
        <v>653</v>
      </c>
      <c r="H205" s="19">
        <v>432</v>
      </c>
      <c r="I205" s="19">
        <v>11170</v>
      </c>
      <c r="J205" s="19">
        <v>10569</v>
      </c>
      <c r="K205" s="19">
        <v>198</v>
      </c>
      <c r="L205" s="19">
        <f t="shared" si="6"/>
        <v>3319</v>
      </c>
      <c r="M205" s="4" t="s">
        <v>51</v>
      </c>
      <c r="N205" s="3" t="s">
        <v>51</v>
      </c>
      <c r="O205" s="3"/>
      <c r="P205" s="10"/>
      <c r="Q205" s="3" t="s">
        <v>28</v>
      </c>
      <c r="R205" s="75">
        <f t="shared" si="7"/>
        <v>0.29713518352730528</v>
      </c>
    </row>
    <row r="206" spans="1:18" x14ac:dyDescent="0.3">
      <c r="A206" s="3" t="s">
        <v>267</v>
      </c>
      <c r="B206" s="3" t="s">
        <v>14</v>
      </c>
      <c r="C206" s="10">
        <v>45771</v>
      </c>
      <c r="D206" s="3" t="s">
        <v>59</v>
      </c>
      <c r="E206" s="3" t="s">
        <v>99</v>
      </c>
      <c r="F206" s="19">
        <v>3820</v>
      </c>
      <c r="G206" s="19">
        <v>697</v>
      </c>
      <c r="H206" s="19">
        <v>268</v>
      </c>
      <c r="I206" s="19">
        <v>45840</v>
      </c>
      <c r="J206" s="19">
        <v>45631</v>
      </c>
      <c r="K206" s="19">
        <v>171</v>
      </c>
      <c r="L206" s="19">
        <f t="shared" si="6"/>
        <v>4785</v>
      </c>
      <c r="M206" s="4" t="s">
        <v>268</v>
      </c>
      <c r="N206" s="3" t="s">
        <v>27</v>
      </c>
      <c r="O206" s="3" t="s">
        <v>388</v>
      </c>
      <c r="P206" s="10"/>
      <c r="Q206" s="3" t="s">
        <v>34</v>
      </c>
      <c r="R206" s="75">
        <f t="shared" si="7"/>
        <v>0.1043848167539267</v>
      </c>
    </row>
    <row r="207" spans="1:18" x14ac:dyDescent="0.3">
      <c r="A207" s="3" t="s">
        <v>269</v>
      </c>
      <c r="B207" s="3" t="s">
        <v>14</v>
      </c>
      <c r="C207" s="10">
        <v>45467</v>
      </c>
      <c r="D207" s="3" t="s">
        <v>20</v>
      </c>
      <c r="E207" s="3" t="s">
        <v>21</v>
      </c>
      <c r="F207" s="19">
        <v>941</v>
      </c>
      <c r="G207" s="19">
        <v>121</v>
      </c>
      <c r="H207" s="19">
        <v>458</v>
      </c>
      <c r="I207" s="19">
        <v>14115</v>
      </c>
      <c r="J207" s="19">
        <v>13838</v>
      </c>
      <c r="K207" s="19">
        <v>87</v>
      </c>
      <c r="L207" s="19">
        <f t="shared" si="6"/>
        <v>1520</v>
      </c>
      <c r="M207" s="4" t="s">
        <v>33</v>
      </c>
      <c r="N207" s="3" t="s">
        <v>33</v>
      </c>
      <c r="O207" s="3"/>
      <c r="P207" s="10"/>
      <c r="Q207" s="3" t="s">
        <v>18</v>
      </c>
      <c r="R207" s="75">
        <f t="shared" si="7"/>
        <v>0.10768685795253277</v>
      </c>
    </row>
    <row r="208" spans="1:18" x14ac:dyDescent="0.3">
      <c r="A208" s="3" t="s">
        <v>270</v>
      </c>
      <c r="B208" s="3" t="s">
        <v>14</v>
      </c>
      <c r="C208" s="10">
        <v>45655</v>
      </c>
      <c r="D208" s="3" t="s">
        <v>39</v>
      </c>
      <c r="E208" s="3" t="s">
        <v>42</v>
      </c>
      <c r="F208" s="19">
        <v>4274</v>
      </c>
      <c r="G208" s="19">
        <v>340</v>
      </c>
      <c r="H208" s="19">
        <v>281</v>
      </c>
      <c r="I208" s="19">
        <v>34192</v>
      </c>
      <c r="J208" s="19">
        <v>33446</v>
      </c>
      <c r="K208" s="19">
        <v>129</v>
      </c>
      <c r="L208" s="19">
        <f t="shared" si="6"/>
        <v>4895</v>
      </c>
      <c r="M208" s="4" t="s">
        <v>268</v>
      </c>
      <c r="N208" s="3" t="s">
        <v>27</v>
      </c>
      <c r="O208" s="3" t="s">
        <v>388</v>
      </c>
      <c r="P208" s="10"/>
      <c r="Q208" s="3" t="s">
        <v>28</v>
      </c>
      <c r="R208" s="75">
        <f t="shared" si="7"/>
        <v>0.14316214319138981</v>
      </c>
    </row>
    <row r="209" spans="1:18" x14ac:dyDescent="0.3">
      <c r="A209" s="3" t="s">
        <v>271</v>
      </c>
      <c r="B209" s="3" t="s">
        <v>25</v>
      </c>
      <c r="C209" s="10">
        <v>45467</v>
      </c>
      <c r="D209" s="3" t="s">
        <v>59</v>
      </c>
      <c r="E209" s="3" t="s">
        <v>143</v>
      </c>
      <c r="F209" s="19">
        <v>2949</v>
      </c>
      <c r="G209" s="19">
        <v>476</v>
      </c>
      <c r="H209" s="19">
        <v>403</v>
      </c>
      <c r="I209" s="19">
        <v>44235</v>
      </c>
      <c r="J209" s="19">
        <v>43705</v>
      </c>
      <c r="K209" s="19">
        <v>135</v>
      </c>
      <c r="L209" s="19">
        <f t="shared" si="6"/>
        <v>3828</v>
      </c>
      <c r="M209" s="4" t="s">
        <v>27</v>
      </c>
      <c r="N209" s="3" t="s">
        <v>27</v>
      </c>
      <c r="O209" s="3"/>
      <c r="P209" s="10"/>
      <c r="Q209" s="3" t="s">
        <v>23</v>
      </c>
      <c r="R209" s="75">
        <f t="shared" si="7"/>
        <v>8.6537809426924378E-2</v>
      </c>
    </row>
    <row r="210" spans="1:18" x14ac:dyDescent="0.3">
      <c r="A210" s="3" t="s">
        <v>272</v>
      </c>
      <c r="B210" s="3" t="s">
        <v>14</v>
      </c>
      <c r="C210" s="10">
        <v>45735</v>
      </c>
      <c r="D210" s="3" t="s">
        <v>59</v>
      </c>
      <c r="E210" s="3" t="s">
        <v>99</v>
      </c>
      <c r="F210" s="19">
        <v>3160</v>
      </c>
      <c r="G210" s="19">
        <v>204</v>
      </c>
      <c r="H210" s="19">
        <v>297</v>
      </c>
      <c r="I210" s="19">
        <v>44240</v>
      </c>
      <c r="J210" s="19">
        <v>43666</v>
      </c>
      <c r="K210" s="19">
        <v>49</v>
      </c>
      <c r="L210" s="19">
        <f t="shared" si="6"/>
        <v>3661</v>
      </c>
      <c r="M210" s="4" t="s">
        <v>17</v>
      </c>
      <c r="N210" s="3" t="s">
        <v>51</v>
      </c>
      <c r="O210" s="3" t="s">
        <v>392</v>
      </c>
      <c r="P210" s="10"/>
      <c r="Q210" s="3" t="s">
        <v>34</v>
      </c>
      <c r="R210" s="75">
        <f t="shared" si="7"/>
        <v>8.2753164556962022E-2</v>
      </c>
    </row>
    <row r="211" spans="1:18" x14ac:dyDescent="0.3">
      <c r="A211" s="3" t="s">
        <v>273</v>
      </c>
      <c r="B211" s="3" t="s">
        <v>25</v>
      </c>
      <c r="C211" s="10">
        <v>45707</v>
      </c>
      <c r="D211" s="3" t="s">
        <v>44</v>
      </c>
      <c r="E211" s="3" t="s">
        <v>45</v>
      </c>
      <c r="F211" s="19">
        <v>257</v>
      </c>
      <c r="G211" s="19">
        <v>966</v>
      </c>
      <c r="H211" s="19">
        <v>398</v>
      </c>
      <c r="I211" s="19">
        <v>3341</v>
      </c>
      <c r="J211" s="19">
        <v>2753</v>
      </c>
      <c r="K211" s="19">
        <v>287</v>
      </c>
      <c r="L211" s="19">
        <f t="shared" si="6"/>
        <v>1621</v>
      </c>
      <c r="M211" s="4" t="s">
        <v>51</v>
      </c>
      <c r="N211" s="3" t="s">
        <v>51</v>
      </c>
      <c r="O211" s="3"/>
      <c r="P211" s="10"/>
      <c r="Q211" s="3" t="s">
        <v>18</v>
      </c>
      <c r="R211" s="75">
        <f t="shared" si="7"/>
        <v>0.48518407662376534</v>
      </c>
    </row>
    <row r="212" spans="1:18" x14ac:dyDescent="0.3">
      <c r="A212" s="3" t="s">
        <v>274</v>
      </c>
      <c r="B212" s="3" t="s">
        <v>14</v>
      </c>
      <c r="C212" s="10">
        <v>45491</v>
      </c>
      <c r="D212" s="3" t="s">
        <v>39</v>
      </c>
      <c r="E212" s="3" t="s">
        <v>42</v>
      </c>
      <c r="F212" s="19">
        <v>2120</v>
      </c>
      <c r="G212" s="19">
        <v>38</v>
      </c>
      <c r="H212" s="19">
        <v>212</v>
      </c>
      <c r="I212" s="19">
        <v>12720</v>
      </c>
      <c r="J212" s="19">
        <v>12564</v>
      </c>
      <c r="K212" s="19">
        <v>21</v>
      </c>
      <c r="L212" s="19">
        <f t="shared" si="6"/>
        <v>2370</v>
      </c>
      <c r="M212" s="4" t="s">
        <v>51</v>
      </c>
      <c r="N212" s="3" t="s">
        <v>51</v>
      </c>
      <c r="O212" s="3"/>
      <c r="P212" s="10"/>
      <c r="Q212" s="3" t="s">
        <v>34</v>
      </c>
      <c r="R212" s="75">
        <f t="shared" si="7"/>
        <v>0.18632075471698112</v>
      </c>
    </row>
    <row r="213" spans="1:18" x14ac:dyDescent="0.3">
      <c r="A213" s="3" t="s">
        <v>275</v>
      </c>
      <c r="B213" s="3" t="s">
        <v>25</v>
      </c>
      <c r="C213" s="10">
        <v>45719</v>
      </c>
      <c r="D213" s="3" t="s">
        <v>59</v>
      </c>
      <c r="E213" s="3" t="s">
        <v>143</v>
      </c>
      <c r="F213" s="19">
        <v>3874</v>
      </c>
      <c r="G213" s="19">
        <v>884</v>
      </c>
      <c r="H213" s="19">
        <v>19</v>
      </c>
      <c r="I213" s="19">
        <v>38740</v>
      </c>
      <c r="J213" s="19">
        <v>38552</v>
      </c>
      <c r="K213" s="19">
        <v>219</v>
      </c>
      <c r="L213" s="19">
        <f t="shared" si="6"/>
        <v>4777</v>
      </c>
      <c r="M213" s="4" t="s">
        <v>27</v>
      </c>
      <c r="N213" s="3" t="s">
        <v>27</v>
      </c>
      <c r="O213" s="3"/>
      <c r="P213" s="10"/>
      <c r="Q213" s="3" t="s">
        <v>23</v>
      </c>
      <c r="R213" s="75">
        <f t="shared" si="7"/>
        <v>0.123309241094476</v>
      </c>
    </row>
    <row r="214" spans="1:18" x14ac:dyDescent="0.3">
      <c r="A214" s="3" t="s">
        <v>276</v>
      </c>
      <c r="B214" s="3" t="s">
        <v>38</v>
      </c>
      <c r="C214" s="10">
        <v>45778</v>
      </c>
      <c r="D214" s="3" t="s">
        <v>39</v>
      </c>
      <c r="E214" s="3" t="s">
        <v>40</v>
      </c>
      <c r="F214" s="19">
        <v>2696</v>
      </c>
      <c r="G214" s="19">
        <v>628</v>
      </c>
      <c r="H214" s="19">
        <v>443</v>
      </c>
      <c r="I214" s="19">
        <v>45832</v>
      </c>
      <c r="J214" s="19">
        <v>45632</v>
      </c>
      <c r="K214" s="19">
        <v>248</v>
      </c>
      <c r="L214" s="19">
        <f t="shared" si="6"/>
        <v>3767</v>
      </c>
      <c r="M214" s="4" t="s">
        <v>33</v>
      </c>
      <c r="N214" s="3" t="s">
        <v>33</v>
      </c>
      <c r="O214" s="3"/>
      <c r="P214" s="10"/>
      <c r="Q214" s="3" t="s">
        <v>34</v>
      </c>
      <c r="R214" s="75">
        <f t="shared" si="7"/>
        <v>8.21914819340199E-2</v>
      </c>
    </row>
    <row r="215" spans="1:18" x14ac:dyDescent="0.3">
      <c r="A215" s="3" t="s">
        <v>277</v>
      </c>
      <c r="B215" s="3" t="s">
        <v>30</v>
      </c>
      <c r="C215" s="10">
        <v>45649</v>
      </c>
      <c r="D215" s="3" t="s">
        <v>44</v>
      </c>
      <c r="E215" s="3" t="s">
        <v>140</v>
      </c>
      <c r="F215" s="19">
        <v>521</v>
      </c>
      <c r="G215" s="19">
        <v>746</v>
      </c>
      <c r="H215" s="19">
        <v>315</v>
      </c>
      <c r="I215" s="19">
        <v>4168</v>
      </c>
      <c r="J215" s="19">
        <v>3399</v>
      </c>
      <c r="K215" s="19">
        <v>282</v>
      </c>
      <c r="L215" s="19">
        <f t="shared" si="6"/>
        <v>1582</v>
      </c>
      <c r="M215" s="4" t="s">
        <v>51</v>
      </c>
      <c r="N215" s="3" t="s">
        <v>51</v>
      </c>
      <c r="O215" s="3"/>
      <c r="P215" s="10"/>
      <c r="Q215" s="3" t="s">
        <v>23</v>
      </c>
      <c r="R215" s="75">
        <f t="shared" si="7"/>
        <v>0.37955854126679461</v>
      </c>
    </row>
    <row r="216" spans="1:18" x14ac:dyDescent="0.3">
      <c r="A216" s="3" t="s">
        <v>278</v>
      </c>
      <c r="B216" s="3" t="s">
        <v>38</v>
      </c>
      <c r="C216" s="10">
        <v>45783</v>
      </c>
      <c r="D216" s="3" t="s">
        <v>44</v>
      </c>
      <c r="E216" s="3" t="s">
        <v>49</v>
      </c>
      <c r="F216" s="19">
        <v>4872</v>
      </c>
      <c r="G216" s="19">
        <v>925</v>
      </c>
      <c r="H216" s="19">
        <v>176</v>
      </c>
      <c r="I216" s="19">
        <v>82824</v>
      </c>
      <c r="J216" s="19">
        <v>82543</v>
      </c>
      <c r="K216" s="19">
        <v>89</v>
      </c>
      <c r="L216" s="19">
        <f t="shared" si="6"/>
        <v>5973</v>
      </c>
      <c r="M216" s="4" t="s">
        <v>33</v>
      </c>
      <c r="N216" s="3" t="s">
        <v>33</v>
      </c>
      <c r="O216" s="3"/>
      <c r="P216" s="10"/>
      <c r="Q216" s="3" t="s">
        <v>23</v>
      </c>
      <c r="R216" s="75">
        <f t="shared" si="7"/>
        <v>7.2116777745580993E-2</v>
      </c>
    </row>
    <row r="217" spans="1:18" x14ac:dyDescent="0.3">
      <c r="A217" s="3" t="s">
        <v>279</v>
      </c>
      <c r="B217" s="3" t="s">
        <v>25</v>
      </c>
      <c r="C217" s="10">
        <v>45502</v>
      </c>
      <c r="D217" s="3" t="s">
        <v>31</v>
      </c>
      <c r="E217" s="3" t="s">
        <v>105</v>
      </c>
      <c r="F217" s="19">
        <v>1509</v>
      </c>
      <c r="G217" s="19">
        <v>88</v>
      </c>
      <c r="H217" s="19">
        <v>163</v>
      </c>
      <c r="I217" s="19">
        <v>30180</v>
      </c>
      <c r="J217" s="19">
        <v>29689</v>
      </c>
      <c r="K217" s="19">
        <v>119</v>
      </c>
      <c r="L217" s="19">
        <f t="shared" si="6"/>
        <v>1760</v>
      </c>
      <c r="M217" s="4" t="s">
        <v>33</v>
      </c>
      <c r="N217" s="3" t="s">
        <v>33</v>
      </c>
      <c r="O217" s="3"/>
      <c r="P217" s="10"/>
      <c r="Q217" s="3" t="s">
        <v>23</v>
      </c>
      <c r="R217" s="75">
        <f t="shared" si="7"/>
        <v>5.8316766070245198E-2</v>
      </c>
    </row>
    <row r="218" spans="1:18" x14ac:dyDescent="0.3">
      <c r="A218" s="3" t="s">
        <v>280</v>
      </c>
      <c r="B218" s="3" t="s">
        <v>38</v>
      </c>
      <c r="C218" s="10">
        <v>45629</v>
      </c>
      <c r="D218" s="3" t="s">
        <v>44</v>
      </c>
      <c r="E218" s="3" t="s">
        <v>49</v>
      </c>
      <c r="F218" s="19">
        <v>4606</v>
      </c>
      <c r="G218" s="19">
        <v>931</v>
      </c>
      <c r="H218" s="19">
        <v>230</v>
      </c>
      <c r="I218" s="19">
        <v>92120</v>
      </c>
      <c r="J218" s="19">
        <v>91440</v>
      </c>
      <c r="K218" s="19">
        <v>56</v>
      </c>
      <c r="L218" s="19">
        <f t="shared" si="6"/>
        <v>5767</v>
      </c>
      <c r="M218" s="4" t="s">
        <v>27</v>
      </c>
      <c r="N218" s="3" t="s">
        <v>27</v>
      </c>
      <c r="O218" s="3"/>
      <c r="P218" s="10"/>
      <c r="Q218" s="3" t="s">
        <v>397</v>
      </c>
      <c r="R218" s="75">
        <f t="shared" si="7"/>
        <v>6.2603126356925748E-2</v>
      </c>
    </row>
    <row r="219" spans="1:18" x14ac:dyDescent="0.3">
      <c r="A219" s="3" t="s">
        <v>281</v>
      </c>
      <c r="B219" s="3" t="s">
        <v>38</v>
      </c>
      <c r="C219" s="10">
        <v>45454</v>
      </c>
      <c r="D219" s="3" t="s">
        <v>39</v>
      </c>
      <c r="E219" s="3" t="s">
        <v>40</v>
      </c>
      <c r="F219" s="19">
        <v>1869</v>
      </c>
      <c r="G219" s="19">
        <v>453</v>
      </c>
      <c r="H219" s="19">
        <v>490</v>
      </c>
      <c r="I219" s="19">
        <v>14952</v>
      </c>
      <c r="J219" s="19">
        <v>14309</v>
      </c>
      <c r="K219" s="19">
        <v>275</v>
      </c>
      <c r="L219" s="19">
        <f t="shared" si="6"/>
        <v>2812</v>
      </c>
      <c r="M219" s="4" t="s">
        <v>27</v>
      </c>
      <c r="N219" s="3" t="s">
        <v>27</v>
      </c>
      <c r="O219" s="3"/>
      <c r="P219" s="10"/>
      <c r="Q219" s="3" t="s">
        <v>34</v>
      </c>
      <c r="R219" s="75">
        <f t="shared" si="7"/>
        <v>0.18806848582129482</v>
      </c>
    </row>
    <row r="220" spans="1:18" x14ac:dyDescent="0.3">
      <c r="A220" s="3" t="s">
        <v>282</v>
      </c>
      <c r="B220" s="3" t="s">
        <v>14</v>
      </c>
      <c r="C220" s="10">
        <v>45685</v>
      </c>
      <c r="D220" s="3" t="s">
        <v>15</v>
      </c>
      <c r="E220" s="3" t="s">
        <v>16</v>
      </c>
      <c r="F220" s="19">
        <v>1188</v>
      </c>
      <c r="G220" s="19">
        <v>470</v>
      </c>
      <c r="H220" s="19">
        <v>174</v>
      </c>
      <c r="I220" s="19">
        <v>7128</v>
      </c>
      <c r="J220" s="19">
        <v>6145</v>
      </c>
      <c r="K220" s="19">
        <v>270</v>
      </c>
      <c r="L220" s="19">
        <f t="shared" si="6"/>
        <v>1832</v>
      </c>
      <c r="M220" s="4" t="s">
        <v>27</v>
      </c>
      <c r="N220" s="3" t="s">
        <v>27</v>
      </c>
      <c r="O220" s="3"/>
      <c r="P220" s="10"/>
      <c r="Q220" s="3" t="s">
        <v>34</v>
      </c>
      <c r="R220" s="75">
        <f t="shared" si="7"/>
        <v>0.25701459034792368</v>
      </c>
    </row>
    <row r="221" spans="1:18" x14ac:dyDescent="0.3">
      <c r="A221" s="3" t="s">
        <v>283</v>
      </c>
      <c r="B221" s="3" t="s">
        <v>30</v>
      </c>
      <c r="C221" s="10">
        <v>45445</v>
      </c>
      <c r="D221" s="3" t="s">
        <v>31</v>
      </c>
      <c r="E221" s="3" t="s">
        <v>32</v>
      </c>
      <c r="F221" s="19">
        <v>84</v>
      </c>
      <c r="G221" s="19">
        <v>897</v>
      </c>
      <c r="H221" s="19">
        <v>85</v>
      </c>
      <c r="I221" s="19">
        <v>588</v>
      </c>
      <c r="J221" s="19">
        <v>8</v>
      </c>
      <c r="K221" s="19">
        <v>12</v>
      </c>
      <c r="L221" s="19">
        <f t="shared" si="6"/>
        <v>1066</v>
      </c>
      <c r="M221" s="4" t="s">
        <v>33</v>
      </c>
      <c r="N221" s="3" t="s">
        <v>33</v>
      </c>
      <c r="O221" s="3"/>
      <c r="P221" s="10"/>
      <c r="Q221" s="3" t="s">
        <v>397</v>
      </c>
      <c r="R221" s="75">
        <f t="shared" si="7"/>
        <v>1.8129251700680271</v>
      </c>
    </row>
    <row r="222" spans="1:18" x14ac:dyDescent="0.3">
      <c r="A222" s="3" t="s">
        <v>284</v>
      </c>
      <c r="B222" s="3" t="s">
        <v>38</v>
      </c>
      <c r="C222" s="10">
        <v>45739</v>
      </c>
      <c r="D222" s="3" t="s">
        <v>59</v>
      </c>
      <c r="E222" s="3" t="s">
        <v>60</v>
      </c>
      <c r="F222" s="19">
        <v>4453</v>
      </c>
      <c r="G222" s="19">
        <v>111</v>
      </c>
      <c r="H222" s="19">
        <v>420</v>
      </c>
      <c r="I222" s="19">
        <v>31171</v>
      </c>
      <c r="J222" s="19">
        <v>30565</v>
      </c>
      <c r="K222" s="19">
        <v>23</v>
      </c>
      <c r="L222" s="19">
        <f t="shared" si="6"/>
        <v>4984</v>
      </c>
      <c r="M222" s="4" t="s">
        <v>27</v>
      </c>
      <c r="N222" s="3" t="s">
        <v>27</v>
      </c>
      <c r="O222" s="3"/>
      <c r="P222" s="10"/>
      <c r="Q222" s="3" t="s">
        <v>397</v>
      </c>
      <c r="R222" s="75">
        <f t="shared" si="7"/>
        <v>0.15989220750056141</v>
      </c>
    </row>
    <row r="223" spans="1:18" x14ac:dyDescent="0.3">
      <c r="A223" s="3" t="s">
        <v>285</v>
      </c>
      <c r="B223" s="3" t="s">
        <v>38</v>
      </c>
      <c r="C223" s="10">
        <v>45573</v>
      </c>
      <c r="D223" s="3" t="s">
        <v>15</v>
      </c>
      <c r="E223" s="3" t="s">
        <v>53</v>
      </c>
      <c r="F223" s="19">
        <v>1814</v>
      </c>
      <c r="G223" s="19">
        <v>653</v>
      </c>
      <c r="H223" s="19">
        <v>363</v>
      </c>
      <c r="I223" s="19">
        <v>25396</v>
      </c>
      <c r="J223" s="19">
        <v>25286</v>
      </c>
      <c r="K223" s="19">
        <v>39</v>
      </c>
      <c r="L223" s="19">
        <f t="shared" si="6"/>
        <v>2830</v>
      </c>
      <c r="M223" s="4" t="s">
        <v>286</v>
      </c>
      <c r="N223" s="3" t="s">
        <v>51</v>
      </c>
      <c r="O223" s="3" t="s">
        <v>388</v>
      </c>
      <c r="P223" s="10"/>
      <c r="Q223" s="3" t="s">
        <v>18</v>
      </c>
      <c r="R223" s="75">
        <f t="shared" si="7"/>
        <v>0.11143487163332809</v>
      </c>
    </row>
    <row r="224" spans="1:18" x14ac:dyDescent="0.3">
      <c r="A224" s="3" t="s">
        <v>287</v>
      </c>
      <c r="B224" s="3" t="s">
        <v>14</v>
      </c>
      <c r="C224" s="10">
        <v>45608</v>
      </c>
      <c r="D224" s="3" t="s">
        <v>44</v>
      </c>
      <c r="E224" s="3" t="s">
        <v>92</v>
      </c>
      <c r="F224" s="19">
        <v>3338</v>
      </c>
      <c r="G224" s="19">
        <v>277</v>
      </c>
      <c r="H224" s="19">
        <v>118</v>
      </c>
      <c r="I224" s="19">
        <v>60084</v>
      </c>
      <c r="J224" s="19">
        <v>59842</v>
      </c>
      <c r="K224" s="19">
        <v>252</v>
      </c>
      <c r="L224" s="19">
        <f t="shared" si="6"/>
        <v>3733</v>
      </c>
      <c r="M224" s="4" t="s">
        <v>27</v>
      </c>
      <c r="N224" s="3" t="s">
        <v>27</v>
      </c>
      <c r="O224" s="3"/>
      <c r="P224" s="10"/>
      <c r="Q224" s="3" t="s">
        <v>397</v>
      </c>
      <c r="R224" s="75">
        <f t="shared" si="7"/>
        <v>6.2129685107516146E-2</v>
      </c>
    </row>
    <row r="225" spans="1:18" x14ac:dyDescent="0.3">
      <c r="A225" s="3" t="s">
        <v>288</v>
      </c>
      <c r="B225" s="3" t="s">
        <v>38</v>
      </c>
      <c r="C225" s="10">
        <v>45790</v>
      </c>
      <c r="D225" s="3" t="s">
        <v>44</v>
      </c>
      <c r="E225" s="3" t="s">
        <v>49</v>
      </c>
      <c r="F225" s="19">
        <v>602</v>
      </c>
      <c r="G225" s="19">
        <v>594</v>
      </c>
      <c r="H225" s="19">
        <v>156</v>
      </c>
      <c r="I225" s="19">
        <v>4214</v>
      </c>
      <c r="J225" s="19">
        <v>3363</v>
      </c>
      <c r="K225" s="19">
        <v>164</v>
      </c>
      <c r="L225" s="19">
        <f t="shared" si="6"/>
        <v>1352</v>
      </c>
      <c r="M225" s="4" t="s">
        <v>27</v>
      </c>
      <c r="N225" s="3" t="s">
        <v>27</v>
      </c>
      <c r="O225" s="3"/>
      <c r="P225" s="10"/>
      <c r="Q225" s="3" t="s">
        <v>28</v>
      </c>
      <c r="R225" s="75">
        <f t="shared" si="7"/>
        <v>0.32083531086853345</v>
      </c>
    </row>
    <row r="226" spans="1:18" x14ac:dyDescent="0.3">
      <c r="A226" s="3" t="s">
        <v>289</v>
      </c>
      <c r="B226" s="3" t="s">
        <v>14</v>
      </c>
      <c r="C226" s="10">
        <v>45463</v>
      </c>
      <c r="D226" s="3" t="s">
        <v>39</v>
      </c>
      <c r="E226" s="3" t="s">
        <v>42</v>
      </c>
      <c r="F226" s="19">
        <v>4672</v>
      </c>
      <c r="G226" s="19">
        <v>325</v>
      </c>
      <c r="H226" s="19">
        <v>32</v>
      </c>
      <c r="I226" s="19">
        <v>88768</v>
      </c>
      <c r="J226" s="19">
        <v>87833</v>
      </c>
      <c r="K226" s="19">
        <v>118</v>
      </c>
      <c r="L226" s="19">
        <f t="shared" si="6"/>
        <v>5029</v>
      </c>
      <c r="M226" s="4" t="s">
        <v>33</v>
      </c>
      <c r="N226" s="3" t="s">
        <v>33</v>
      </c>
      <c r="O226" s="3"/>
      <c r="P226" s="10"/>
      <c r="Q226" s="3" t="s">
        <v>397</v>
      </c>
      <c r="R226" s="75">
        <f t="shared" si="7"/>
        <v>5.6653298485940883E-2</v>
      </c>
    </row>
    <row r="227" spans="1:18" x14ac:dyDescent="0.3">
      <c r="A227" s="3" t="s">
        <v>290</v>
      </c>
      <c r="B227" s="3" t="s">
        <v>30</v>
      </c>
      <c r="C227" s="10">
        <v>45511</v>
      </c>
      <c r="D227" s="3" t="s">
        <v>39</v>
      </c>
      <c r="E227" s="3" t="s">
        <v>68</v>
      </c>
      <c r="F227" s="19">
        <v>1741</v>
      </c>
      <c r="G227" s="19">
        <v>164</v>
      </c>
      <c r="H227" s="19">
        <v>318</v>
      </c>
      <c r="I227" s="19">
        <v>8705</v>
      </c>
      <c r="J227" s="19">
        <v>8272</v>
      </c>
      <c r="K227" s="19">
        <v>121</v>
      </c>
      <c r="L227" s="19">
        <f t="shared" si="6"/>
        <v>2223</v>
      </c>
      <c r="M227" s="4" t="s">
        <v>27</v>
      </c>
      <c r="N227" s="3" t="s">
        <v>27</v>
      </c>
      <c r="O227" s="3"/>
      <c r="P227" s="10"/>
      <c r="Q227" s="3" t="s">
        <v>397</v>
      </c>
      <c r="R227" s="75">
        <f t="shared" si="7"/>
        <v>0.25537047673750718</v>
      </c>
    </row>
    <row r="228" spans="1:18" x14ac:dyDescent="0.3">
      <c r="A228" s="3" t="s">
        <v>291</v>
      </c>
      <c r="B228" s="3" t="s">
        <v>30</v>
      </c>
      <c r="C228" s="10">
        <v>45455</v>
      </c>
      <c r="D228" s="3" t="s">
        <v>20</v>
      </c>
      <c r="E228" s="3" t="s">
        <v>82</v>
      </c>
      <c r="F228" s="19">
        <v>246</v>
      </c>
      <c r="G228" s="19">
        <v>149</v>
      </c>
      <c r="H228" s="19">
        <v>130</v>
      </c>
      <c r="I228" s="19">
        <v>4674</v>
      </c>
      <c r="J228" s="19">
        <v>4390</v>
      </c>
      <c r="K228" s="19">
        <v>217</v>
      </c>
      <c r="L228" s="19">
        <f t="shared" si="6"/>
        <v>525</v>
      </c>
      <c r="M228" s="4" t="s">
        <v>51</v>
      </c>
      <c r="N228" s="3" t="s">
        <v>51</v>
      </c>
      <c r="O228" s="3"/>
      <c r="P228" s="10"/>
      <c r="Q228" s="3" t="s">
        <v>28</v>
      </c>
      <c r="R228" s="75">
        <f t="shared" si="7"/>
        <v>0.11232349165596919</v>
      </c>
    </row>
    <row r="229" spans="1:18" x14ac:dyDescent="0.3">
      <c r="A229" s="3" t="s">
        <v>292</v>
      </c>
      <c r="B229" s="3" t="s">
        <v>30</v>
      </c>
      <c r="C229" s="10">
        <v>45474</v>
      </c>
      <c r="D229" s="3" t="s">
        <v>31</v>
      </c>
      <c r="E229" s="3" t="s">
        <v>32</v>
      </c>
      <c r="F229" s="19">
        <v>4808</v>
      </c>
      <c r="G229" s="19">
        <v>772</v>
      </c>
      <c r="H229" s="19">
        <v>320</v>
      </c>
      <c r="I229" s="19">
        <v>72120</v>
      </c>
      <c r="J229" s="19">
        <v>71696</v>
      </c>
      <c r="K229" s="19">
        <v>195</v>
      </c>
      <c r="L229" s="19">
        <f t="shared" si="6"/>
        <v>5900</v>
      </c>
      <c r="M229" s="4" t="s">
        <v>33</v>
      </c>
      <c r="N229" s="3" t="s">
        <v>33</v>
      </c>
      <c r="O229" s="3"/>
      <c r="P229" s="10"/>
      <c r="Q229" s="3" t="s">
        <v>18</v>
      </c>
      <c r="R229" s="75">
        <f t="shared" si="7"/>
        <v>8.1808097615085965E-2</v>
      </c>
    </row>
    <row r="230" spans="1:18" x14ac:dyDescent="0.3">
      <c r="A230" s="3" t="s">
        <v>293</v>
      </c>
      <c r="B230" s="3" t="s">
        <v>30</v>
      </c>
      <c r="C230" s="10">
        <v>45476</v>
      </c>
      <c r="D230" s="3" t="s">
        <v>39</v>
      </c>
      <c r="E230" s="3" t="s">
        <v>68</v>
      </c>
      <c r="F230" s="19">
        <v>4799</v>
      </c>
      <c r="G230" s="19">
        <v>694</v>
      </c>
      <c r="H230" s="19">
        <v>289</v>
      </c>
      <c r="I230" s="19">
        <v>43191</v>
      </c>
      <c r="J230" s="19">
        <v>42228</v>
      </c>
      <c r="K230" s="19">
        <v>118</v>
      </c>
      <c r="L230" s="19">
        <f t="shared" si="6"/>
        <v>5782</v>
      </c>
      <c r="M230" s="4" t="s">
        <v>27</v>
      </c>
      <c r="N230" s="3" t="s">
        <v>27</v>
      </c>
      <c r="O230" s="3"/>
      <c r="P230" s="10"/>
      <c r="Q230" s="3" t="s">
        <v>397</v>
      </c>
      <c r="R230" s="75">
        <f t="shared" si="7"/>
        <v>0.13387048227640017</v>
      </c>
    </row>
    <row r="231" spans="1:18" x14ac:dyDescent="0.3">
      <c r="A231" s="3" t="s">
        <v>294</v>
      </c>
      <c r="B231" s="3" t="s">
        <v>38</v>
      </c>
      <c r="C231" s="10">
        <v>45488</v>
      </c>
      <c r="D231" s="3" t="s">
        <v>15</v>
      </c>
      <c r="E231" s="3" t="s">
        <v>53</v>
      </c>
      <c r="F231" s="19">
        <v>3663</v>
      </c>
      <c r="G231" s="19">
        <v>17</v>
      </c>
      <c r="H231" s="19">
        <v>295</v>
      </c>
      <c r="I231" s="19">
        <v>51282</v>
      </c>
      <c r="J231" s="19">
        <v>50567</v>
      </c>
      <c r="K231" s="19">
        <v>84</v>
      </c>
      <c r="L231" s="19">
        <f t="shared" si="6"/>
        <v>3975</v>
      </c>
      <c r="M231" s="4" t="s">
        <v>33</v>
      </c>
      <c r="N231" s="3" t="s">
        <v>33</v>
      </c>
      <c r="O231" s="3"/>
      <c r="P231" s="10"/>
      <c r="Q231" s="3" t="s">
        <v>28</v>
      </c>
      <c r="R231" s="75">
        <f t="shared" si="7"/>
        <v>7.7512577512577507E-2</v>
      </c>
    </row>
    <row r="232" spans="1:18" x14ac:dyDescent="0.3">
      <c r="A232" s="3" t="s">
        <v>295</v>
      </c>
      <c r="B232" s="3" t="s">
        <v>30</v>
      </c>
      <c r="C232" s="10">
        <v>45778</v>
      </c>
      <c r="D232" s="3" t="s">
        <v>20</v>
      </c>
      <c r="E232" s="3" t="s">
        <v>82</v>
      </c>
      <c r="F232" s="19">
        <v>1430</v>
      </c>
      <c r="G232" s="19">
        <v>376</v>
      </c>
      <c r="H232" s="19">
        <v>33</v>
      </c>
      <c r="I232" s="19">
        <v>21450</v>
      </c>
      <c r="J232" s="19">
        <v>20509</v>
      </c>
      <c r="K232" s="19">
        <v>251</v>
      </c>
      <c r="L232" s="19">
        <f t="shared" si="6"/>
        <v>1839</v>
      </c>
      <c r="M232" s="4" t="s">
        <v>51</v>
      </c>
      <c r="N232" s="3" t="s">
        <v>51</v>
      </c>
      <c r="O232" s="3"/>
      <c r="P232" s="10"/>
      <c r="Q232" s="3" t="s">
        <v>18</v>
      </c>
      <c r="R232" s="75">
        <f t="shared" si="7"/>
        <v>8.5734265734265735E-2</v>
      </c>
    </row>
    <row r="233" spans="1:18" x14ac:dyDescent="0.3">
      <c r="A233" s="3" t="s">
        <v>296</v>
      </c>
      <c r="B233" s="3" t="s">
        <v>14</v>
      </c>
      <c r="C233" s="10">
        <v>45776</v>
      </c>
      <c r="D233" s="3" t="s">
        <v>31</v>
      </c>
      <c r="E233" s="3" t="s">
        <v>102</v>
      </c>
      <c r="F233" s="19">
        <v>249</v>
      </c>
      <c r="G233" s="19">
        <v>592</v>
      </c>
      <c r="H233" s="19">
        <v>230</v>
      </c>
      <c r="I233" s="19">
        <v>1494</v>
      </c>
      <c r="J233" s="19">
        <v>1044</v>
      </c>
      <c r="K233" s="19">
        <v>201</v>
      </c>
      <c r="L233" s="19">
        <f t="shared" si="6"/>
        <v>1071</v>
      </c>
      <c r="M233" s="4" t="s">
        <v>33</v>
      </c>
      <c r="N233" s="3" t="s">
        <v>33</v>
      </c>
      <c r="O233" s="3"/>
      <c r="P233" s="10"/>
      <c r="Q233" s="3" t="s">
        <v>34</v>
      </c>
      <c r="R233" s="75">
        <f t="shared" si="7"/>
        <v>0.7168674698795181</v>
      </c>
    </row>
    <row r="234" spans="1:18" x14ac:dyDescent="0.3">
      <c r="A234" s="3" t="s">
        <v>297</v>
      </c>
      <c r="B234" s="3" t="s">
        <v>38</v>
      </c>
      <c r="C234" s="10">
        <v>45724</v>
      </c>
      <c r="D234" s="3" t="s">
        <v>44</v>
      </c>
      <c r="E234" s="3" t="s">
        <v>49</v>
      </c>
      <c r="F234" s="19">
        <v>2382</v>
      </c>
      <c r="G234" s="19">
        <v>265</v>
      </c>
      <c r="H234" s="19">
        <v>134</v>
      </c>
      <c r="I234" s="19">
        <v>38112</v>
      </c>
      <c r="J234" s="19">
        <v>37437</v>
      </c>
      <c r="K234" s="19">
        <v>249</v>
      </c>
      <c r="L234" s="19">
        <f t="shared" si="6"/>
        <v>2781</v>
      </c>
      <c r="M234" s="4" t="s">
        <v>51</v>
      </c>
      <c r="N234" s="3" t="s">
        <v>51</v>
      </c>
      <c r="O234" s="3"/>
      <c r="P234" s="10"/>
      <c r="Q234" s="3" t="s">
        <v>34</v>
      </c>
      <c r="R234" s="75">
        <f t="shared" si="7"/>
        <v>7.2969143576826198E-2</v>
      </c>
    </row>
    <row r="235" spans="1:18" x14ac:dyDescent="0.3">
      <c r="A235" s="3" t="s">
        <v>298</v>
      </c>
      <c r="B235" s="3" t="s">
        <v>38</v>
      </c>
      <c r="C235" s="10">
        <v>45444</v>
      </c>
      <c r="D235" s="3" t="s">
        <v>20</v>
      </c>
      <c r="E235" s="3" t="s">
        <v>47</v>
      </c>
      <c r="F235" s="19">
        <v>1272</v>
      </c>
      <c r="G235" s="19">
        <v>465</v>
      </c>
      <c r="H235" s="19">
        <v>99</v>
      </c>
      <c r="I235" s="19">
        <v>24168</v>
      </c>
      <c r="J235" s="19">
        <v>23719</v>
      </c>
      <c r="K235" s="19">
        <v>42</v>
      </c>
      <c r="L235" s="19">
        <f t="shared" si="6"/>
        <v>1836</v>
      </c>
      <c r="M235" s="4" t="s">
        <v>27</v>
      </c>
      <c r="N235" s="3" t="s">
        <v>27</v>
      </c>
      <c r="O235" s="3"/>
      <c r="P235" s="10"/>
      <c r="Q235" s="3" t="s">
        <v>397</v>
      </c>
      <c r="R235" s="75">
        <f t="shared" si="7"/>
        <v>7.5968222442899705E-2</v>
      </c>
    </row>
    <row r="236" spans="1:18" x14ac:dyDescent="0.3">
      <c r="A236" s="3" t="s">
        <v>299</v>
      </c>
      <c r="B236" s="3" t="s">
        <v>38</v>
      </c>
      <c r="C236" s="10">
        <v>45648</v>
      </c>
      <c r="D236" s="3" t="s">
        <v>44</v>
      </c>
      <c r="E236" s="3" t="s">
        <v>49</v>
      </c>
      <c r="F236" s="19">
        <v>3196</v>
      </c>
      <c r="G236" s="19">
        <v>941</v>
      </c>
      <c r="H236" s="19">
        <v>376</v>
      </c>
      <c r="I236" s="19">
        <v>35156</v>
      </c>
      <c r="J236" s="19">
        <v>34444</v>
      </c>
      <c r="K236" s="19">
        <v>241</v>
      </c>
      <c r="L236" s="19">
        <f t="shared" si="6"/>
        <v>4513</v>
      </c>
      <c r="M236" s="4" t="s">
        <v>27</v>
      </c>
      <c r="N236" s="3" t="s">
        <v>27</v>
      </c>
      <c r="O236" s="3"/>
      <c r="P236" s="10"/>
      <c r="Q236" s="3" t="s">
        <v>28</v>
      </c>
      <c r="R236" s="75">
        <f t="shared" si="7"/>
        <v>0.1283706906360223</v>
      </c>
    </row>
    <row r="237" spans="1:18" x14ac:dyDescent="0.3">
      <c r="A237" s="3" t="s">
        <v>300</v>
      </c>
      <c r="B237" s="3" t="s">
        <v>38</v>
      </c>
      <c r="C237" s="10">
        <v>45523</v>
      </c>
      <c r="D237" s="3" t="s">
        <v>20</v>
      </c>
      <c r="E237" s="3" t="s">
        <v>47</v>
      </c>
      <c r="F237" s="19">
        <v>1257</v>
      </c>
      <c r="G237" s="19">
        <v>19</v>
      </c>
      <c r="H237" s="19">
        <v>351</v>
      </c>
      <c r="I237" s="19">
        <v>12570</v>
      </c>
      <c r="J237" s="19">
        <v>11660</v>
      </c>
      <c r="K237" s="19">
        <v>194</v>
      </c>
      <c r="L237" s="19">
        <f t="shared" si="6"/>
        <v>1627</v>
      </c>
      <c r="M237" s="4" t="s">
        <v>301</v>
      </c>
      <c r="N237" s="3" t="s">
        <v>51</v>
      </c>
      <c r="O237" s="3" t="s">
        <v>392</v>
      </c>
      <c r="P237" s="10" t="s">
        <v>33</v>
      </c>
      <c r="Q237" s="3" t="s">
        <v>23</v>
      </c>
      <c r="R237" s="75">
        <f t="shared" si="7"/>
        <v>0.12943516308671441</v>
      </c>
    </row>
    <row r="238" spans="1:18" x14ac:dyDescent="0.3">
      <c r="A238" s="3" t="s">
        <v>302</v>
      </c>
      <c r="B238" s="3" t="s">
        <v>30</v>
      </c>
      <c r="C238" s="10">
        <v>45587</v>
      </c>
      <c r="D238" s="3" t="s">
        <v>31</v>
      </c>
      <c r="E238" s="3" t="s">
        <v>32</v>
      </c>
      <c r="F238" s="19">
        <v>3770</v>
      </c>
      <c r="G238" s="19">
        <v>917</v>
      </c>
      <c r="H238" s="19">
        <v>129</v>
      </c>
      <c r="I238" s="19">
        <v>71630</v>
      </c>
      <c r="J238" s="19">
        <v>71322</v>
      </c>
      <c r="K238" s="19">
        <v>76</v>
      </c>
      <c r="L238" s="19">
        <f t="shared" si="6"/>
        <v>4816</v>
      </c>
      <c r="M238" s="4" t="s">
        <v>51</v>
      </c>
      <c r="N238" s="3" t="s">
        <v>51</v>
      </c>
      <c r="O238" s="3"/>
      <c r="P238" s="10"/>
      <c r="Q238" s="3" t="s">
        <v>18</v>
      </c>
      <c r="R238" s="75">
        <f t="shared" si="7"/>
        <v>6.7234398994834563E-2</v>
      </c>
    </row>
    <row r="239" spans="1:18" x14ac:dyDescent="0.3">
      <c r="A239" s="3" t="s">
        <v>303</v>
      </c>
      <c r="B239" s="3" t="s">
        <v>14</v>
      </c>
      <c r="C239" s="10">
        <v>45489</v>
      </c>
      <c r="D239" s="3" t="s">
        <v>20</v>
      </c>
      <c r="E239" s="3" t="s">
        <v>21</v>
      </c>
      <c r="F239" s="19">
        <v>4725</v>
      </c>
      <c r="G239" s="19">
        <v>400</v>
      </c>
      <c r="H239" s="19">
        <v>362</v>
      </c>
      <c r="I239" s="19">
        <v>75600</v>
      </c>
      <c r="J239" s="19">
        <v>74927</v>
      </c>
      <c r="K239" s="19">
        <v>43</v>
      </c>
      <c r="L239" s="19">
        <f t="shared" si="6"/>
        <v>5487</v>
      </c>
      <c r="M239" s="4" t="s">
        <v>51</v>
      </c>
      <c r="N239" s="3" t="s">
        <v>51</v>
      </c>
      <c r="O239" s="3"/>
      <c r="P239" s="10"/>
      <c r="Q239" s="3" t="s">
        <v>34</v>
      </c>
      <c r="R239" s="75">
        <f t="shared" si="7"/>
        <v>7.2579365079365077E-2</v>
      </c>
    </row>
    <row r="240" spans="1:18" x14ac:dyDescent="0.3">
      <c r="A240" s="3" t="s">
        <v>304</v>
      </c>
      <c r="B240" s="3" t="s">
        <v>25</v>
      </c>
      <c r="C240" s="10">
        <v>45712</v>
      </c>
      <c r="D240" s="3" t="s">
        <v>20</v>
      </c>
      <c r="E240" s="3" t="s">
        <v>77</v>
      </c>
      <c r="F240" s="19">
        <v>4188</v>
      </c>
      <c r="G240" s="19">
        <v>942</v>
      </c>
      <c r="H240" s="19">
        <v>118</v>
      </c>
      <c r="I240" s="19">
        <v>20940</v>
      </c>
      <c r="J240" s="19">
        <v>20471</v>
      </c>
      <c r="K240" s="19">
        <v>102</v>
      </c>
      <c r="L240" s="19">
        <f t="shared" si="6"/>
        <v>5248</v>
      </c>
      <c r="M240" s="4" t="s">
        <v>51</v>
      </c>
      <c r="N240" s="3" t="s">
        <v>51</v>
      </c>
      <c r="O240" s="3"/>
      <c r="P240" s="10"/>
      <c r="Q240" s="3" t="s">
        <v>397</v>
      </c>
      <c r="R240" s="75">
        <f t="shared" si="7"/>
        <v>0.25062082139446035</v>
      </c>
    </row>
    <row r="241" spans="1:18" x14ac:dyDescent="0.3">
      <c r="A241" s="3" t="s">
        <v>305</v>
      </c>
      <c r="B241" s="3" t="s">
        <v>14</v>
      </c>
      <c r="C241" s="10">
        <v>45530</v>
      </c>
      <c r="D241" s="3" t="s">
        <v>39</v>
      </c>
      <c r="E241" s="3" t="s">
        <v>42</v>
      </c>
      <c r="F241" s="19">
        <v>929</v>
      </c>
      <c r="G241" s="19">
        <v>192</v>
      </c>
      <c r="H241" s="19">
        <v>322</v>
      </c>
      <c r="I241" s="19">
        <v>16722</v>
      </c>
      <c r="J241" s="19">
        <v>15996</v>
      </c>
      <c r="K241" s="19">
        <v>145</v>
      </c>
      <c r="L241" s="19">
        <f t="shared" si="6"/>
        <v>1443</v>
      </c>
      <c r="M241" s="4" t="s">
        <v>117</v>
      </c>
      <c r="N241" s="3" t="s">
        <v>33</v>
      </c>
      <c r="O241" s="3" t="s">
        <v>27</v>
      </c>
      <c r="P241" s="10" t="s">
        <v>392</v>
      </c>
      <c r="Q241" s="3" t="s">
        <v>28</v>
      </c>
      <c r="R241" s="75">
        <f t="shared" si="7"/>
        <v>8.6293505561535699E-2</v>
      </c>
    </row>
    <row r="242" spans="1:18" x14ac:dyDescent="0.3">
      <c r="A242" s="3" t="s">
        <v>306</v>
      </c>
      <c r="B242" s="3" t="s">
        <v>38</v>
      </c>
      <c r="C242" s="10">
        <v>45675</v>
      </c>
      <c r="D242" s="3" t="s">
        <v>31</v>
      </c>
      <c r="E242" s="3" t="s">
        <v>57</v>
      </c>
      <c r="F242" s="19">
        <v>4321</v>
      </c>
      <c r="G242" s="19">
        <v>874</v>
      </c>
      <c r="H242" s="19">
        <v>172</v>
      </c>
      <c r="I242" s="19">
        <v>30247</v>
      </c>
      <c r="J242" s="19">
        <v>29254</v>
      </c>
      <c r="K242" s="19">
        <v>122</v>
      </c>
      <c r="L242" s="19">
        <f t="shared" si="6"/>
        <v>5367</v>
      </c>
      <c r="M242" s="4" t="s">
        <v>27</v>
      </c>
      <c r="N242" s="3" t="s">
        <v>27</v>
      </c>
      <c r="O242" s="3"/>
      <c r="P242" s="10"/>
      <c r="Q242" s="3" t="s">
        <v>34</v>
      </c>
      <c r="R242" s="75">
        <f t="shared" si="7"/>
        <v>0.17743908486792079</v>
      </c>
    </row>
    <row r="243" spans="1:18" x14ac:dyDescent="0.3">
      <c r="A243" s="3" t="s">
        <v>307</v>
      </c>
      <c r="B243" s="3" t="s">
        <v>38</v>
      </c>
      <c r="C243" s="10">
        <v>45480</v>
      </c>
      <c r="D243" s="3" t="s">
        <v>15</v>
      </c>
      <c r="E243" s="3" t="s">
        <v>53</v>
      </c>
      <c r="F243" s="19">
        <v>4767</v>
      </c>
      <c r="G243" s="19">
        <v>190</v>
      </c>
      <c r="H243" s="19">
        <v>340</v>
      </c>
      <c r="I243" s="19">
        <v>28602</v>
      </c>
      <c r="J243" s="19">
        <v>28044</v>
      </c>
      <c r="K243" s="19">
        <v>210</v>
      </c>
      <c r="L243" s="19">
        <f t="shared" si="6"/>
        <v>5297</v>
      </c>
      <c r="M243" s="4" t="s">
        <v>33</v>
      </c>
      <c r="N243" s="3" t="s">
        <v>33</v>
      </c>
      <c r="O243" s="3"/>
      <c r="P243" s="10"/>
      <c r="Q243" s="3" t="s">
        <v>28</v>
      </c>
      <c r="R243" s="75">
        <f t="shared" si="7"/>
        <v>0.18519683938186141</v>
      </c>
    </row>
    <row r="244" spans="1:18" x14ac:dyDescent="0.3">
      <c r="A244" s="3" t="s">
        <v>308</v>
      </c>
      <c r="B244" s="3" t="s">
        <v>14</v>
      </c>
      <c r="C244" s="10">
        <v>45722</v>
      </c>
      <c r="D244" s="3" t="s">
        <v>44</v>
      </c>
      <c r="E244" s="3" t="s">
        <v>92</v>
      </c>
      <c r="F244" s="19">
        <v>3592</v>
      </c>
      <c r="G244" s="19">
        <v>911</v>
      </c>
      <c r="H244" s="19">
        <v>375</v>
      </c>
      <c r="I244" s="19">
        <v>50288</v>
      </c>
      <c r="J244" s="19">
        <v>49490</v>
      </c>
      <c r="K244" s="19">
        <v>32</v>
      </c>
      <c r="L244" s="19">
        <f t="shared" si="6"/>
        <v>4878</v>
      </c>
      <c r="M244" s="4" t="s">
        <v>51</v>
      </c>
      <c r="N244" s="3" t="s">
        <v>51</v>
      </c>
      <c r="O244" s="3"/>
      <c r="P244" s="10"/>
      <c r="Q244" s="3" t="s">
        <v>34</v>
      </c>
      <c r="R244" s="75">
        <f t="shared" si="7"/>
        <v>9.7001272669424113E-2</v>
      </c>
    </row>
    <row r="245" spans="1:18" x14ac:dyDescent="0.3">
      <c r="A245" s="3" t="s">
        <v>309</v>
      </c>
      <c r="B245" s="3" t="s">
        <v>25</v>
      </c>
      <c r="C245" s="10">
        <v>45590</v>
      </c>
      <c r="D245" s="3" t="s">
        <v>59</v>
      </c>
      <c r="E245" s="3" t="s">
        <v>143</v>
      </c>
      <c r="F245" s="19">
        <v>4661</v>
      </c>
      <c r="G245" s="19">
        <v>935</v>
      </c>
      <c r="H245" s="19">
        <v>433</v>
      </c>
      <c r="I245" s="19">
        <v>23305</v>
      </c>
      <c r="J245" s="19">
        <v>22583</v>
      </c>
      <c r="K245" s="19">
        <v>63</v>
      </c>
      <c r="L245" s="19">
        <f t="shared" si="6"/>
        <v>6029</v>
      </c>
      <c r="M245" s="4" t="s">
        <v>51</v>
      </c>
      <c r="N245" s="3" t="s">
        <v>51</v>
      </c>
      <c r="O245" s="3"/>
      <c r="P245" s="10"/>
      <c r="Q245" s="3" t="s">
        <v>28</v>
      </c>
      <c r="R245" s="75">
        <f t="shared" si="7"/>
        <v>0.25869984981763572</v>
      </c>
    </row>
    <row r="246" spans="1:18" x14ac:dyDescent="0.3">
      <c r="A246" s="3" t="s">
        <v>310</v>
      </c>
      <c r="B246" s="3" t="s">
        <v>38</v>
      </c>
      <c r="C246" s="10">
        <v>45669</v>
      </c>
      <c r="D246" s="3" t="s">
        <v>15</v>
      </c>
      <c r="E246" s="3" t="s">
        <v>53</v>
      </c>
      <c r="F246" s="19">
        <v>4134</v>
      </c>
      <c r="G246" s="19">
        <v>824</v>
      </c>
      <c r="H246" s="19">
        <v>99</v>
      </c>
      <c r="I246" s="19">
        <v>41340</v>
      </c>
      <c r="J246" s="19">
        <v>41050</v>
      </c>
      <c r="K246" s="19">
        <v>177</v>
      </c>
      <c r="L246" s="19">
        <f t="shared" si="6"/>
        <v>5057</v>
      </c>
      <c r="M246" s="4" t="s">
        <v>33</v>
      </c>
      <c r="N246" s="3" t="s">
        <v>33</v>
      </c>
      <c r="O246" s="3"/>
      <c r="P246" s="10"/>
      <c r="Q246" s="3" t="s">
        <v>18</v>
      </c>
      <c r="R246" s="75">
        <f t="shared" si="7"/>
        <v>0.12232704402515723</v>
      </c>
    </row>
    <row r="247" spans="1:18" x14ac:dyDescent="0.3">
      <c r="A247" s="3" t="s">
        <v>311</v>
      </c>
      <c r="B247" s="3" t="s">
        <v>38</v>
      </c>
      <c r="C247" s="10">
        <v>45576</v>
      </c>
      <c r="D247" s="3" t="s">
        <v>44</v>
      </c>
      <c r="E247" s="3" t="s">
        <v>49</v>
      </c>
      <c r="F247" s="19">
        <v>400</v>
      </c>
      <c r="G247" s="19">
        <v>680</v>
      </c>
      <c r="H247" s="19">
        <v>434</v>
      </c>
      <c r="I247" s="19">
        <v>6400</v>
      </c>
      <c r="J247" s="19">
        <v>5472</v>
      </c>
      <c r="K247" s="19">
        <v>160</v>
      </c>
      <c r="L247" s="19">
        <f t="shared" si="6"/>
        <v>1514</v>
      </c>
      <c r="M247" s="4" t="s">
        <v>51</v>
      </c>
      <c r="N247" s="3" t="s">
        <v>51</v>
      </c>
      <c r="O247" s="3"/>
      <c r="P247" s="10"/>
      <c r="Q247" s="3" t="s">
        <v>23</v>
      </c>
      <c r="R247" s="75">
        <f t="shared" si="7"/>
        <v>0.23656250000000001</v>
      </c>
    </row>
    <row r="248" spans="1:18" x14ac:dyDescent="0.3">
      <c r="A248" s="3" t="s">
        <v>312</v>
      </c>
      <c r="B248" s="3" t="s">
        <v>38</v>
      </c>
      <c r="C248" s="10">
        <v>45531</v>
      </c>
      <c r="D248" s="3" t="s">
        <v>15</v>
      </c>
      <c r="E248" s="3" t="s">
        <v>53</v>
      </c>
      <c r="F248" s="19">
        <v>3960</v>
      </c>
      <c r="G248" s="19">
        <v>266</v>
      </c>
      <c r="H248" s="19">
        <v>8</v>
      </c>
      <c r="I248" s="19">
        <v>35640</v>
      </c>
      <c r="J248" s="19">
        <v>34850</v>
      </c>
      <c r="K248" s="19">
        <v>208</v>
      </c>
      <c r="L248" s="19">
        <f t="shared" si="6"/>
        <v>4234</v>
      </c>
      <c r="M248" s="4" t="s">
        <v>313</v>
      </c>
      <c r="N248" s="3" t="s">
        <v>51</v>
      </c>
      <c r="O248" s="3" t="s">
        <v>33</v>
      </c>
      <c r="P248" s="10" t="s">
        <v>393</v>
      </c>
      <c r="Q248" s="3" t="s">
        <v>397</v>
      </c>
      <c r="R248" s="75">
        <f t="shared" si="7"/>
        <v>0.11879910213243547</v>
      </c>
    </row>
    <row r="249" spans="1:18" x14ac:dyDescent="0.3">
      <c r="A249" s="3" t="s">
        <v>314</v>
      </c>
      <c r="B249" s="3" t="s">
        <v>38</v>
      </c>
      <c r="C249" s="10">
        <v>45690</v>
      </c>
      <c r="D249" s="3" t="s">
        <v>31</v>
      </c>
      <c r="E249" s="3" t="s">
        <v>57</v>
      </c>
      <c r="F249" s="19">
        <v>886</v>
      </c>
      <c r="G249" s="19">
        <v>126</v>
      </c>
      <c r="H249" s="19">
        <v>153</v>
      </c>
      <c r="I249" s="19">
        <v>4430</v>
      </c>
      <c r="J249" s="19">
        <v>4037</v>
      </c>
      <c r="K249" s="19">
        <v>212</v>
      </c>
      <c r="L249" s="19">
        <f t="shared" si="6"/>
        <v>1165</v>
      </c>
      <c r="M249" s="4" t="s">
        <v>33</v>
      </c>
      <c r="N249" s="3" t="s">
        <v>33</v>
      </c>
      <c r="O249" s="3"/>
      <c r="P249" s="10"/>
      <c r="Q249" s="3" t="s">
        <v>397</v>
      </c>
      <c r="R249" s="75">
        <f t="shared" si="7"/>
        <v>0.26297968397291194</v>
      </c>
    </row>
    <row r="250" spans="1:18" x14ac:dyDescent="0.3">
      <c r="A250" s="3" t="s">
        <v>315</v>
      </c>
      <c r="B250" s="3" t="s">
        <v>14</v>
      </c>
      <c r="C250" s="10">
        <v>45491</v>
      </c>
      <c r="D250" s="3" t="s">
        <v>44</v>
      </c>
      <c r="E250" s="3" t="s">
        <v>92</v>
      </c>
      <c r="F250" s="19">
        <v>827</v>
      </c>
      <c r="G250" s="19">
        <v>77</v>
      </c>
      <c r="H250" s="19">
        <v>402</v>
      </c>
      <c r="I250" s="19">
        <v>14886</v>
      </c>
      <c r="J250" s="19">
        <v>14129</v>
      </c>
      <c r="K250" s="19">
        <v>254</v>
      </c>
      <c r="L250" s="19">
        <f t="shared" si="6"/>
        <v>1306</v>
      </c>
      <c r="M250" s="4" t="s">
        <v>33</v>
      </c>
      <c r="N250" s="3" t="s">
        <v>33</v>
      </c>
      <c r="O250" s="3"/>
      <c r="P250" s="10"/>
      <c r="Q250" s="3" t="s">
        <v>23</v>
      </c>
      <c r="R250" s="75">
        <f t="shared" si="7"/>
        <v>8.7733440816874911E-2</v>
      </c>
    </row>
    <row r="251" spans="1:18" x14ac:dyDescent="0.3">
      <c r="A251" s="3" t="s">
        <v>316</v>
      </c>
      <c r="B251" s="3" t="s">
        <v>38</v>
      </c>
      <c r="C251" s="10">
        <v>45465</v>
      </c>
      <c r="D251" s="3" t="s">
        <v>15</v>
      </c>
      <c r="E251" s="3" t="s">
        <v>53</v>
      </c>
      <c r="F251" s="19">
        <v>3813</v>
      </c>
      <c r="G251" s="19">
        <v>935</v>
      </c>
      <c r="H251" s="19">
        <v>274</v>
      </c>
      <c r="I251" s="19">
        <v>68634</v>
      </c>
      <c r="J251" s="19">
        <v>68488</v>
      </c>
      <c r="K251" s="19">
        <v>251</v>
      </c>
      <c r="L251" s="19">
        <f t="shared" si="6"/>
        <v>5022</v>
      </c>
      <c r="M251" s="4" t="s">
        <v>51</v>
      </c>
      <c r="N251" s="3" t="s">
        <v>51</v>
      </c>
      <c r="O251" s="3"/>
      <c r="P251" s="10"/>
      <c r="Q251" s="3" t="s">
        <v>397</v>
      </c>
      <c r="R251" s="75">
        <f t="shared" si="7"/>
        <v>7.3170731707317069E-2</v>
      </c>
    </row>
    <row r="252" spans="1:18" x14ac:dyDescent="0.3">
      <c r="A252" s="3" t="s">
        <v>317</v>
      </c>
      <c r="B252" s="3" t="s">
        <v>30</v>
      </c>
      <c r="C252" s="10">
        <v>45743</v>
      </c>
      <c r="D252" s="3" t="s">
        <v>39</v>
      </c>
      <c r="E252" s="3" t="s">
        <v>68</v>
      </c>
      <c r="F252" s="19">
        <v>1377</v>
      </c>
      <c r="G252" s="19">
        <v>796</v>
      </c>
      <c r="H252" s="19">
        <v>387</v>
      </c>
      <c r="I252" s="19">
        <v>22032</v>
      </c>
      <c r="J252" s="19">
        <v>21869</v>
      </c>
      <c r="K252" s="19">
        <v>189</v>
      </c>
      <c r="L252" s="19">
        <f t="shared" si="6"/>
        <v>2560</v>
      </c>
      <c r="M252" s="4" t="s">
        <v>51</v>
      </c>
      <c r="N252" s="3" t="s">
        <v>51</v>
      </c>
      <c r="O252" s="3"/>
      <c r="P252" s="10"/>
      <c r="Q252" s="3" t="s">
        <v>397</v>
      </c>
      <c r="R252" s="75">
        <f t="shared" si="7"/>
        <v>0.11619462599854757</v>
      </c>
    </row>
    <row r="253" spans="1:18" x14ac:dyDescent="0.3">
      <c r="A253" s="3" t="s">
        <v>318</v>
      </c>
      <c r="B253" s="3" t="s">
        <v>38</v>
      </c>
      <c r="C253" s="10">
        <v>45775</v>
      </c>
      <c r="D253" s="3" t="s">
        <v>39</v>
      </c>
      <c r="E253" s="3" t="s">
        <v>40</v>
      </c>
      <c r="F253" s="19">
        <v>2089</v>
      </c>
      <c r="G253" s="19">
        <v>476</v>
      </c>
      <c r="H253" s="19">
        <v>69</v>
      </c>
      <c r="I253" s="19">
        <v>16712</v>
      </c>
      <c r="J253" s="19">
        <v>16309</v>
      </c>
      <c r="K253" s="19">
        <v>64</v>
      </c>
      <c r="L253" s="19">
        <f t="shared" si="6"/>
        <v>2634</v>
      </c>
      <c r="M253" s="4" t="s">
        <v>51</v>
      </c>
      <c r="N253" s="3" t="s">
        <v>51</v>
      </c>
      <c r="O253" s="3"/>
      <c r="P253" s="10"/>
      <c r="Q253" s="3" t="s">
        <v>28</v>
      </c>
      <c r="R253" s="75">
        <f t="shared" si="7"/>
        <v>0.15761129727142173</v>
      </c>
    </row>
    <row r="254" spans="1:18" x14ac:dyDescent="0.3">
      <c r="A254" s="3" t="s">
        <v>319</v>
      </c>
      <c r="B254" s="3" t="s">
        <v>14</v>
      </c>
      <c r="C254" s="10">
        <v>45507</v>
      </c>
      <c r="D254" s="3" t="s">
        <v>15</v>
      </c>
      <c r="E254" s="3" t="s">
        <v>16</v>
      </c>
      <c r="F254" s="19">
        <v>3791</v>
      </c>
      <c r="G254" s="19">
        <v>593</v>
      </c>
      <c r="H254" s="19">
        <v>228</v>
      </c>
      <c r="I254" s="19">
        <v>53074</v>
      </c>
      <c r="J254" s="19">
        <v>52613</v>
      </c>
      <c r="K254" s="19">
        <v>205</v>
      </c>
      <c r="L254" s="19">
        <f t="shared" si="6"/>
        <v>4612</v>
      </c>
      <c r="M254" s="4" t="s">
        <v>33</v>
      </c>
      <c r="N254" s="3" t="s">
        <v>33</v>
      </c>
      <c r="O254" s="3"/>
      <c r="P254" s="10"/>
      <c r="Q254" s="3" t="s">
        <v>397</v>
      </c>
      <c r="R254" s="75">
        <f t="shared" si="7"/>
        <v>8.6897539284772202E-2</v>
      </c>
    </row>
    <row r="255" spans="1:18" x14ac:dyDescent="0.3">
      <c r="A255" s="3" t="s">
        <v>320</v>
      </c>
      <c r="B255" s="3" t="s">
        <v>14</v>
      </c>
      <c r="C255" s="10">
        <v>45671</v>
      </c>
      <c r="D255" s="3" t="s">
        <v>44</v>
      </c>
      <c r="E255" s="3" t="s">
        <v>92</v>
      </c>
      <c r="F255" s="19">
        <v>2692</v>
      </c>
      <c r="G255" s="19">
        <v>115</v>
      </c>
      <c r="H255" s="19">
        <v>64</v>
      </c>
      <c r="I255" s="19">
        <v>21536</v>
      </c>
      <c r="J255" s="19">
        <v>21120</v>
      </c>
      <c r="K255" s="19">
        <v>224</v>
      </c>
      <c r="L255" s="19">
        <f t="shared" si="6"/>
        <v>2871</v>
      </c>
      <c r="M255" s="4" t="s">
        <v>51</v>
      </c>
      <c r="N255" s="3" t="s">
        <v>51</v>
      </c>
      <c r="O255" s="3"/>
      <c r="P255" s="10"/>
      <c r="Q255" s="3" t="s">
        <v>23</v>
      </c>
      <c r="R255" s="75">
        <f t="shared" si="7"/>
        <v>0.13331166419019316</v>
      </c>
    </row>
    <row r="256" spans="1:18" x14ac:dyDescent="0.3">
      <c r="A256" s="3" t="s">
        <v>321</v>
      </c>
      <c r="B256" s="3" t="s">
        <v>38</v>
      </c>
      <c r="C256" s="10">
        <v>45750</v>
      </c>
      <c r="D256" s="3" t="s">
        <v>31</v>
      </c>
      <c r="E256" s="3" t="s">
        <v>57</v>
      </c>
      <c r="F256" s="19">
        <v>3767</v>
      </c>
      <c r="G256" s="19">
        <v>514</v>
      </c>
      <c r="H256" s="19">
        <v>238</v>
      </c>
      <c r="I256" s="19">
        <v>37670</v>
      </c>
      <c r="J256" s="19">
        <v>36807</v>
      </c>
      <c r="K256" s="19">
        <v>226</v>
      </c>
      <c r="L256" s="19">
        <f t="shared" si="6"/>
        <v>4519</v>
      </c>
      <c r="M256" s="4" t="s">
        <v>51</v>
      </c>
      <c r="N256" s="3" t="s">
        <v>51</v>
      </c>
      <c r="O256" s="3"/>
      <c r="P256" s="10"/>
      <c r="Q256" s="3" t="s">
        <v>34</v>
      </c>
      <c r="R256" s="75">
        <f t="shared" si="7"/>
        <v>0.11996283514733209</v>
      </c>
    </row>
    <row r="257" spans="1:18" x14ac:dyDescent="0.3">
      <c r="A257" s="3" t="s">
        <v>322</v>
      </c>
      <c r="B257" s="3" t="s">
        <v>25</v>
      </c>
      <c r="C257" s="10">
        <v>45553</v>
      </c>
      <c r="D257" s="3" t="s">
        <v>39</v>
      </c>
      <c r="E257" s="3" t="s">
        <v>55</v>
      </c>
      <c r="F257" s="19">
        <v>2143</v>
      </c>
      <c r="G257" s="19">
        <v>12</v>
      </c>
      <c r="H257" s="19">
        <v>204</v>
      </c>
      <c r="I257" s="19">
        <v>40717</v>
      </c>
      <c r="J257" s="19">
        <v>40125</v>
      </c>
      <c r="K257" s="19">
        <v>248</v>
      </c>
      <c r="L257" s="19">
        <f t="shared" si="6"/>
        <v>2359</v>
      </c>
      <c r="M257" s="4" t="s">
        <v>33</v>
      </c>
      <c r="N257" s="3" t="s">
        <v>33</v>
      </c>
      <c r="O257" s="3"/>
      <c r="P257" s="10"/>
      <c r="Q257" s="3" t="s">
        <v>23</v>
      </c>
      <c r="R257" s="75">
        <f t="shared" si="7"/>
        <v>5.7936488444630008E-2</v>
      </c>
    </row>
    <row r="258" spans="1:18" x14ac:dyDescent="0.3">
      <c r="A258" s="3" t="s">
        <v>323</v>
      </c>
      <c r="B258" s="3" t="s">
        <v>38</v>
      </c>
      <c r="C258" s="10">
        <v>45753</v>
      </c>
      <c r="D258" s="3" t="s">
        <v>44</v>
      </c>
      <c r="E258" s="3" t="s">
        <v>49</v>
      </c>
      <c r="F258" s="19">
        <v>3090</v>
      </c>
      <c r="G258" s="19">
        <v>697</v>
      </c>
      <c r="H258" s="19">
        <v>164</v>
      </c>
      <c r="I258" s="19">
        <v>49440</v>
      </c>
      <c r="J258" s="19">
        <v>48524</v>
      </c>
      <c r="K258" s="19">
        <v>25</v>
      </c>
      <c r="L258" s="19">
        <f t="shared" si="6"/>
        <v>3951</v>
      </c>
      <c r="M258" s="4" t="s">
        <v>324</v>
      </c>
      <c r="N258" s="3" t="s">
        <v>33</v>
      </c>
      <c r="O258" s="3" t="s">
        <v>33</v>
      </c>
      <c r="P258" s="10" t="s">
        <v>393</v>
      </c>
      <c r="Q258" s="3" t="s">
        <v>23</v>
      </c>
      <c r="R258" s="75">
        <f t="shared" si="7"/>
        <v>7.9915048543689318E-2</v>
      </c>
    </row>
    <row r="259" spans="1:18" x14ac:dyDescent="0.3">
      <c r="A259" s="3" t="s">
        <v>325</v>
      </c>
      <c r="B259" s="3" t="s">
        <v>30</v>
      </c>
      <c r="C259" s="10">
        <v>45509</v>
      </c>
      <c r="D259" s="3" t="s">
        <v>31</v>
      </c>
      <c r="E259" s="3" t="s">
        <v>32</v>
      </c>
      <c r="F259" s="19">
        <v>3601</v>
      </c>
      <c r="G259" s="19">
        <v>695</v>
      </c>
      <c r="H259" s="19">
        <v>75</v>
      </c>
      <c r="I259" s="19">
        <v>21606</v>
      </c>
      <c r="J259" s="19">
        <v>21454</v>
      </c>
      <c r="K259" s="19">
        <v>172</v>
      </c>
      <c r="L259" s="19">
        <f t="shared" ref="L259:L301" si="8">SUM($F259:$H259)</f>
        <v>4371</v>
      </c>
      <c r="M259" s="4" t="s">
        <v>33</v>
      </c>
      <c r="N259" s="3" t="s">
        <v>33</v>
      </c>
      <c r="O259" s="3"/>
      <c r="P259" s="10"/>
      <c r="Q259" s="3" t="s">
        <v>23</v>
      </c>
      <c r="R259" s="75">
        <f t="shared" ref="R259:R301" si="9">SUM(F259:H259)/I259</f>
        <v>0.2023049153013052</v>
      </c>
    </row>
    <row r="260" spans="1:18" x14ac:dyDescent="0.3">
      <c r="A260" s="3" t="s">
        <v>326</v>
      </c>
      <c r="B260" s="3" t="s">
        <v>38</v>
      </c>
      <c r="C260" s="10">
        <v>45698</v>
      </c>
      <c r="D260" s="3" t="s">
        <v>20</v>
      </c>
      <c r="E260" s="3" t="s">
        <v>47</v>
      </c>
      <c r="F260" s="19">
        <v>562</v>
      </c>
      <c r="G260" s="19">
        <v>158</v>
      </c>
      <c r="H260" s="19">
        <v>149</v>
      </c>
      <c r="I260" s="19">
        <v>3372</v>
      </c>
      <c r="J260" s="19">
        <v>2940</v>
      </c>
      <c r="K260" s="19">
        <v>93</v>
      </c>
      <c r="L260" s="19">
        <f t="shared" si="8"/>
        <v>869</v>
      </c>
      <c r="M260" s="4" t="s">
        <v>27</v>
      </c>
      <c r="N260" s="3" t="s">
        <v>27</v>
      </c>
      <c r="O260" s="3"/>
      <c r="P260" s="10"/>
      <c r="Q260" s="3" t="s">
        <v>18</v>
      </c>
      <c r="R260" s="75">
        <f t="shared" si="9"/>
        <v>0.25771055753262156</v>
      </c>
    </row>
    <row r="261" spans="1:18" x14ac:dyDescent="0.3">
      <c r="A261" s="3" t="s">
        <v>327</v>
      </c>
      <c r="B261" s="3" t="s">
        <v>30</v>
      </c>
      <c r="C261" s="10">
        <v>45700</v>
      </c>
      <c r="D261" s="3" t="s">
        <v>31</v>
      </c>
      <c r="E261" s="3" t="s">
        <v>32</v>
      </c>
      <c r="F261" s="19">
        <v>4332</v>
      </c>
      <c r="G261" s="19">
        <v>771</v>
      </c>
      <c r="H261" s="19">
        <v>219</v>
      </c>
      <c r="I261" s="19">
        <v>60648</v>
      </c>
      <c r="J261" s="19">
        <v>60397</v>
      </c>
      <c r="K261" s="19">
        <v>10</v>
      </c>
      <c r="L261" s="19">
        <f t="shared" si="8"/>
        <v>5322</v>
      </c>
      <c r="M261" s="4" t="s">
        <v>328</v>
      </c>
      <c r="N261" s="3" t="s">
        <v>27</v>
      </c>
      <c r="O261" s="3" t="s">
        <v>33</v>
      </c>
      <c r="P261" s="10" t="s">
        <v>393</v>
      </c>
      <c r="Q261" s="3" t="s">
        <v>28</v>
      </c>
      <c r="R261" s="75">
        <f t="shared" si="9"/>
        <v>8.7752275425405618E-2</v>
      </c>
    </row>
    <row r="262" spans="1:18" x14ac:dyDescent="0.3">
      <c r="A262" s="3" t="s">
        <v>329</v>
      </c>
      <c r="B262" s="3" t="s">
        <v>30</v>
      </c>
      <c r="C262" s="10">
        <v>45592</v>
      </c>
      <c r="D262" s="3" t="s">
        <v>44</v>
      </c>
      <c r="E262" s="3" t="s">
        <v>140</v>
      </c>
      <c r="F262" s="19">
        <v>4853</v>
      </c>
      <c r="G262" s="19">
        <v>837</v>
      </c>
      <c r="H262" s="19">
        <v>340</v>
      </c>
      <c r="I262" s="19">
        <v>72795</v>
      </c>
      <c r="J262" s="19">
        <v>72237</v>
      </c>
      <c r="K262" s="19">
        <v>170</v>
      </c>
      <c r="L262" s="19">
        <f t="shared" si="8"/>
        <v>6030</v>
      </c>
      <c r="M262" s="4" t="s">
        <v>33</v>
      </c>
      <c r="N262" s="3" t="s">
        <v>33</v>
      </c>
      <c r="O262" s="3"/>
      <c r="P262" s="10"/>
      <c r="Q262" s="3" t="s">
        <v>18</v>
      </c>
      <c r="R262" s="75">
        <f t="shared" si="9"/>
        <v>8.2835359571399134E-2</v>
      </c>
    </row>
    <row r="263" spans="1:18" x14ac:dyDescent="0.3">
      <c r="A263" s="3" t="s">
        <v>330</v>
      </c>
      <c r="B263" s="3" t="s">
        <v>25</v>
      </c>
      <c r="C263" s="10">
        <v>45675</v>
      </c>
      <c r="D263" s="3" t="s">
        <v>44</v>
      </c>
      <c r="E263" s="3" t="s">
        <v>45</v>
      </c>
      <c r="F263" s="19">
        <v>1206</v>
      </c>
      <c r="G263" s="19">
        <v>238</v>
      </c>
      <c r="H263" s="19">
        <v>36</v>
      </c>
      <c r="I263" s="19">
        <v>9648</v>
      </c>
      <c r="J263" s="19">
        <v>9417</v>
      </c>
      <c r="K263" s="19">
        <v>237</v>
      </c>
      <c r="L263" s="19">
        <f t="shared" si="8"/>
        <v>1480</v>
      </c>
      <c r="M263" s="4" t="s">
        <v>27</v>
      </c>
      <c r="N263" s="3" t="s">
        <v>27</v>
      </c>
      <c r="O263" s="3"/>
      <c r="P263" s="10"/>
      <c r="Q263" s="3" t="s">
        <v>397</v>
      </c>
      <c r="R263" s="75">
        <f t="shared" si="9"/>
        <v>0.15339966832504145</v>
      </c>
    </row>
    <row r="264" spans="1:18" x14ac:dyDescent="0.3">
      <c r="A264" s="3" t="s">
        <v>331</v>
      </c>
      <c r="B264" s="3" t="s">
        <v>30</v>
      </c>
      <c r="C264" s="10">
        <v>45524</v>
      </c>
      <c r="D264" s="3" t="s">
        <v>15</v>
      </c>
      <c r="E264" s="3" t="s">
        <v>64</v>
      </c>
      <c r="F264" s="19">
        <v>2603</v>
      </c>
      <c r="G264" s="19">
        <v>690</v>
      </c>
      <c r="H264" s="19">
        <v>205</v>
      </c>
      <c r="I264" s="19">
        <v>13015</v>
      </c>
      <c r="J264" s="19">
        <v>12130</v>
      </c>
      <c r="K264" s="19">
        <v>20</v>
      </c>
      <c r="L264" s="19">
        <f t="shared" si="8"/>
        <v>3498</v>
      </c>
      <c r="M264" s="4" t="s">
        <v>51</v>
      </c>
      <c r="N264" s="3" t="s">
        <v>51</v>
      </c>
      <c r="O264" s="3"/>
      <c r="P264" s="10"/>
      <c r="Q264" s="3" t="s">
        <v>23</v>
      </c>
      <c r="R264" s="75">
        <f t="shared" si="9"/>
        <v>0.26876680752977333</v>
      </c>
    </row>
    <row r="265" spans="1:18" x14ac:dyDescent="0.3">
      <c r="A265" s="3" t="s">
        <v>332</v>
      </c>
      <c r="B265" s="3" t="s">
        <v>14</v>
      </c>
      <c r="C265" s="10">
        <v>45687</v>
      </c>
      <c r="D265" s="3" t="s">
        <v>44</v>
      </c>
      <c r="E265" s="3" t="s">
        <v>92</v>
      </c>
      <c r="F265" s="19">
        <v>59</v>
      </c>
      <c r="G265" s="19">
        <v>163</v>
      </c>
      <c r="H265" s="19">
        <v>93</v>
      </c>
      <c r="I265" s="19">
        <v>590</v>
      </c>
      <c r="J265" s="19">
        <v>475</v>
      </c>
      <c r="K265" s="19">
        <v>293</v>
      </c>
      <c r="L265" s="19">
        <f t="shared" si="8"/>
        <v>315</v>
      </c>
      <c r="M265" s="4" t="s">
        <v>27</v>
      </c>
      <c r="N265" s="3" t="s">
        <v>27</v>
      </c>
      <c r="O265" s="3"/>
      <c r="P265" s="10"/>
      <c r="Q265" s="3" t="s">
        <v>23</v>
      </c>
      <c r="R265" s="75">
        <f t="shared" si="9"/>
        <v>0.53389830508474578</v>
      </c>
    </row>
    <row r="266" spans="1:18" x14ac:dyDescent="0.3">
      <c r="A266" s="3" t="s">
        <v>333</v>
      </c>
      <c r="B266" s="3" t="s">
        <v>14</v>
      </c>
      <c r="C266" s="10">
        <v>45708</v>
      </c>
      <c r="D266" s="3" t="s">
        <v>39</v>
      </c>
      <c r="E266" s="3" t="s">
        <v>42</v>
      </c>
      <c r="F266" s="19">
        <v>1877</v>
      </c>
      <c r="G266" s="19">
        <v>745</v>
      </c>
      <c r="H266" s="19">
        <v>225</v>
      </c>
      <c r="I266" s="19">
        <v>11262</v>
      </c>
      <c r="J266" s="19">
        <v>10967</v>
      </c>
      <c r="K266" s="19">
        <v>41</v>
      </c>
      <c r="L266" s="19">
        <f t="shared" si="8"/>
        <v>2847</v>
      </c>
      <c r="M266" s="4" t="s">
        <v>33</v>
      </c>
      <c r="N266" s="3" t="s">
        <v>33</v>
      </c>
      <c r="O266" s="3"/>
      <c r="P266" s="10"/>
      <c r="Q266" s="3" t="s">
        <v>34</v>
      </c>
      <c r="R266" s="75">
        <f t="shared" si="9"/>
        <v>0.25279701651571657</v>
      </c>
    </row>
    <row r="267" spans="1:18" x14ac:dyDescent="0.3">
      <c r="A267" s="3" t="s">
        <v>334</v>
      </c>
      <c r="B267" s="3" t="s">
        <v>38</v>
      </c>
      <c r="C267" s="10">
        <v>45621</v>
      </c>
      <c r="D267" s="3" t="s">
        <v>31</v>
      </c>
      <c r="E267" s="3" t="s">
        <v>57</v>
      </c>
      <c r="F267" s="19">
        <v>4182</v>
      </c>
      <c r="G267" s="19">
        <v>640</v>
      </c>
      <c r="H267" s="19">
        <v>240</v>
      </c>
      <c r="I267" s="19">
        <v>50184</v>
      </c>
      <c r="J267" s="19">
        <v>49351</v>
      </c>
      <c r="K267" s="19">
        <v>10</v>
      </c>
      <c r="L267" s="19">
        <f t="shared" si="8"/>
        <v>5062</v>
      </c>
      <c r="M267" s="4" t="s">
        <v>27</v>
      </c>
      <c r="N267" s="3" t="s">
        <v>27</v>
      </c>
      <c r="O267" s="3"/>
      <c r="P267" s="10"/>
      <c r="Q267" s="3" t="s">
        <v>28</v>
      </c>
      <c r="R267" s="75">
        <f t="shared" si="9"/>
        <v>0.10086880280567512</v>
      </c>
    </row>
    <row r="268" spans="1:18" x14ac:dyDescent="0.3">
      <c r="A268" s="3" t="s">
        <v>335</v>
      </c>
      <c r="B268" s="3" t="s">
        <v>14</v>
      </c>
      <c r="C268" s="10">
        <v>45569</v>
      </c>
      <c r="D268" s="3" t="s">
        <v>15</v>
      </c>
      <c r="E268" s="3" t="s">
        <v>16</v>
      </c>
      <c r="F268" s="19">
        <v>4187</v>
      </c>
      <c r="G268" s="19">
        <v>66</v>
      </c>
      <c r="H268" s="19">
        <v>31</v>
      </c>
      <c r="I268" s="19">
        <v>66992</v>
      </c>
      <c r="J268" s="19">
        <v>66614</v>
      </c>
      <c r="K268" s="19">
        <v>62</v>
      </c>
      <c r="L268" s="19">
        <f t="shared" si="8"/>
        <v>4284</v>
      </c>
      <c r="M268" s="4" t="s">
        <v>51</v>
      </c>
      <c r="N268" s="3" t="s">
        <v>51</v>
      </c>
      <c r="O268" s="3"/>
      <c r="P268" s="10"/>
      <c r="Q268" s="3" t="s">
        <v>397</v>
      </c>
      <c r="R268" s="75">
        <f t="shared" si="9"/>
        <v>6.3947934081681396E-2</v>
      </c>
    </row>
    <row r="269" spans="1:18" x14ac:dyDescent="0.3">
      <c r="A269" s="3" t="s">
        <v>336</v>
      </c>
      <c r="B269" s="3" t="s">
        <v>30</v>
      </c>
      <c r="C269" s="10">
        <v>45760</v>
      </c>
      <c r="D269" s="3" t="s">
        <v>15</v>
      </c>
      <c r="E269" s="3" t="s">
        <v>64</v>
      </c>
      <c r="F269" s="19">
        <v>4579</v>
      </c>
      <c r="G269" s="19">
        <v>125</v>
      </c>
      <c r="H269" s="19">
        <v>300</v>
      </c>
      <c r="I269" s="19">
        <v>59527</v>
      </c>
      <c r="J269" s="19">
        <v>59400</v>
      </c>
      <c r="K269" s="19">
        <v>269</v>
      </c>
      <c r="L269" s="19">
        <f t="shared" si="8"/>
        <v>5004</v>
      </c>
      <c r="M269" s="4" t="s">
        <v>33</v>
      </c>
      <c r="N269" s="3" t="s">
        <v>33</v>
      </c>
      <c r="O269" s="3"/>
      <c r="P269" s="10"/>
      <c r="Q269" s="3" t="s">
        <v>18</v>
      </c>
      <c r="R269" s="75">
        <f t="shared" si="9"/>
        <v>8.4062694239588759E-2</v>
      </c>
    </row>
    <row r="270" spans="1:18" x14ac:dyDescent="0.3">
      <c r="A270" s="3" t="s">
        <v>337</v>
      </c>
      <c r="B270" s="3" t="s">
        <v>30</v>
      </c>
      <c r="C270" s="10">
        <v>45601</v>
      </c>
      <c r="D270" s="3" t="s">
        <v>59</v>
      </c>
      <c r="E270" s="3" t="s">
        <v>66</v>
      </c>
      <c r="F270" s="19">
        <v>4561</v>
      </c>
      <c r="G270" s="19">
        <v>51</v>
      </c>
      <c r="H270" s="19">
        <v>441</v>
      </c>
      <c r="I270" s="19">
        <v>22805</v>
      </c>
      <c r="J270" s="19">
        <v>21890</v>
      </c>
      <c r="K270" s="19">
        <v>45</v>
      </c>
      <c r="L270" s="19">
        <f t="shared" si="8"/>
        <v>5053</v>
      </c>
      <c r="M270" s="4" t="s">
        <v>27</v>
      </c>
      <c r="N270" s="3" t="s">
        <v>27</v>
      </c>
      <c r="O270" s="3"/>
      <c r="P270" s="10"/>
      <c r="Q270" s="3" t="s">
        <v>23</v>
      </c>
      <c r="R270" s="75">
        <f t="shared" si="9"/>
        <v>0.22157421618066214</v>
      </c>
    </row>
    <row r="271" spans="1:18" x14ac:dyDescent="0.3">
      <c r="A271" s="3" t="s">
        <v>338</v>
      </c>
      <c r="B271" s="3" t="s">
        <v>25</v>
      </c>
      <c r="C271" s="10">
        <v>45672</v>
      </c>
      <c r="D271" s="3" t="s">
        <v>15</v>
      </c>
      <c r="E271" s="3" t="s">
        <v>26</v>
      </c>
      <c r="F271" s="19">
        <v>3774</v>
      </c>
      <c r="G271" s="19">
        <v>239</v>
      </c>
      <c r="H271" s="19">
        <v>39</v>
      </c>
      <c r="I271" s="19">
        <v>60384</v>
      </c>
      <c r="J271" s="19">
        <v>59490</v>
      </c>
      <c r="K271" s="19">
        <v>241</v>
      </c>
      <c r="L271" s="19">
        <f t="shared" si="8"/>
        <v>4052</v>
      </c>
      <c r="M271" s="4" t="s">
        <v>27</v>
      </c>
      <c r="N271" s="3" t="s">
        <v>27</v>
      </c>
      <c r="O271" s="3"/>
      <c r="P271" s="10"/>
      <c r="Q271" s="3" t="s">
        <v>28</v>
      </c>
      <c r="R271" s="75">
        <f t="shared" si="9"/>
        <v>6.7103868574456813E-2</v>
      </c>
    </row>
    <row r="272" spans="1:18" x14ac:dyDescent="0.3">
      <c r="A272" s="3" t="s">
        <v>339</v>
      </c>
      <c r="B272" s="3" t="s">
        <v>30</v>
      </c>
      <c r="C272" s="10">
        <v>45582</v>
      </c>
      <c r="D272" s="3" t="s">
        <v>59</v>
      </c>
      <c r="E272" s="3" t="s">
        <v>66</v>
      </c>
      <c r="F272" s="19">
        <v>3575</v>
      </c>
      <c r="G272" s="19">
        <v>749</v>
      </c>
      <c r="H272" s="19">
        <v>111</v>
      </c>
      <c r="I272" s="19">
        <v>21450</v>
      </c>
      <c r="J272" s="19">
        <v>20785</v>
      </c>
      <c r="K272" s="19">
        <v>195</v>
      </c>
      <c r="L272" s="19">
        <f t="shared" si="8"/>
        <v>4435</v>
      </c>
      <c r="M272" s="4" t="s">
        <v>33</v>
      </c>
      <c r="N272" s="3" t="s">
        <v>33</v>
      </c>
      <c r="O272" s="3"/>
      <c r="P272" s="10"/>
      <c r="Q272" s="3" t="s">
        <v>23</v>
      </c>
      <c r="R272" s="75">
        <f t="shared" si="9"/>
        <v>0.20675990675990677</v>
      </c>
    </row>
    <row r="273" spans="1:18" x14ac:dyDescent="0.3">
      <c r="A273" s="3" t="s">
        <v>340</v>
      </c>
      <c r="B273" s="3" t="s">
        <v>30</v>
      </c>
      <c r="C273" s="10">
        <v>45743</v>
      </c>
      <c r="D273" s="3" t="s">
        <v>20</v>
      </c>
      <c r="E273" s="3" t="s">
        <v>82</v>
      </c>
      <c r="F273" s="19">
        <v>4941</v>
      </c>
      <c r="G273" s="19">
        <v>414</v>
      </c>
      <c r="H273" s="19">
        <v>266</v>
      </c>
      <c r="I273" s="19">
        <v>39528</v>
      </c>
      <c r="J273" s="19">
        <v>39154</v>
      </c>
      <c r="K273" s="19">
        <v>217</v>
      </c>
      <c r="L273" s="19">
        <f t="shared" si="8"/>
        <v>5621</v>
      </c>
      <c r="M273" s="4" t="s">
        <v>27</v>
      </c>
      <c r="N273" s="3" t="s">
        <v>27</v>
      </c>
      <c r="O273" s="3"/>
      <c r="P273" s="10"/>
      <c r="Q273" s="3" t="s">
        <v>28</v>
      </c>
      <c r="R273" s="75">
        <f t="shared" si="9"/>
        <v>0.14220299534507186</v>
      </c>
    </row>
    <row r="274" spans="1:18" x14ac:dyDescent="0.3">
      <c r="A274" s="3" t="s">
        <v>341</v>
      </c>
      <c r="B274" s="3" t="s">
        <v>25</v>
      </c>
      <c r="C274" s="10">
        <v>45577</v>
      </c>
      <c r="D274" s="3" t="s">
        <v>31</v>
      </c>
      <c r="E274" s="3" t="s">
        <v>105</v>
      </c>
      <c r="F274" s="19">
        <v>3641</v>
      </c>
      <c r="G274" s="19">
        <v>226</v>
      </c>
      <c r="H274" s="19">
        <v>46</v>
      </c>
      <c r="I274" s="19">
        <v>40051</v>
      </c>
      <c r="J274" s="19">
        <v>39319</v>
      </c>
      <c r="K274" s="19">
        <v>296</v>
      </c>
      <c r="L274" s="19">
        <f t="shared" si="8"/>
        <v>3913</v>
      </c>
      <c r="M274" s="4" t="s">
        <v>33</v>
      </c>
      <c r="N274" s="3" t="s">
        <v>33</v>
      </c>
      <c r="O274" s="3"/>
      <c r="P274" s="10"/>
      <c r="Q274" s="3" t="s">
        <v>34</v>
      </c>
      <c r="R274" s="75">
        <f t="shared" si="9"/>
        <v>9.7700431949264685E-2</v>
      </c>
    </row>
    <row r="275" spans="1:18" x14ac:dyDescent="0.3">
      <c r="A275" s="3" t="s">
        <v>342</v>
      </c>
      <c r="B275" s="3" t="s">
        <v>14</v>
      </c>
      <c r="C275" s="10">
        <v>45658</v>
      </c>
      <c r="D275" s="3" t="s">
        <v>39</v>
      </c>
      <c r="E275" s="3" t="s">
        <v>42</v>
      </c>
      <c r="F275" s="19">
        <v>3535</v>
      </c>
      <c r="G275" s="19">
        <v>494</v>
      </c>
      <c r="H275" s="19">
        <v>152</v>
      </c>
      <c r="I275" s="19">
        <v>53025</v>
      </c>
      <c r="J275" s="19">
        <v>52791</v>
      </c>
      <c r="K275" s="19">
        <v>44</v>
      </c>
      <c r="L275" s="19">
        <f t="shared" si="8"/>
        <v>4181</v>
      </c>
      <c r="M275" s="4" t="s">
        <v>27</v>
      </c>
      <c r="N275" s="3" t="s">
        <v>27</v>
      </c>
      <c r="O275" s="3"/>
      <c r="P275" s="10"/>
      <c r="Q275" s="3" t="s">
        <v>34</v>
      </c>
      <c r="R275" s="75">
        <f t="shared" si="9"/>
        <v>7.8849599245638849E-2</v>
      </c>
    </row>
    <row r="276" spans="1:18" x14ac:dyDescent="0.3">
      <c r="A276" s="3" t="s">
        <v>343</v>
      </c>
      <c r="B276" s="3" t="s">
        <v>38</v>
      </c>
      <c r="C276" s="10">
        <v>45509</v>
      </c>
      <c r="D276" s="3" t="s">
        <v>15</v>
      </c>
      <c r="E276" s="3" t="s">
        <v>53</v>
      </c>
      <c r="F276" s="19">
        <v>1741</v>
      </c>
      <c r="G276" s="19">
        <v>831</v>
      </c>
      <c r="H276" s="19">
        <v>345</v>
      </c>
      <c r="I276" s="19">
        <v>17410</v>
      </c>
      <c r="J276" s="19">
        <v>16844</v>
      </c>
      <c r="K276" s="19">
        <v>58</v>
      </c>
      <c r="L276" s="19">
        <f t="shared" si="8"/>
        <v>2917</v>
      </c>
      <c r="M276" s="4" t="s">
        <v>33</v>
      </c>
      <c r="N276" s="3" t="s">
        <v>33</v>
      </c>
      <c r="O276" s="3"/>
      <c r="P276" s="10"/>
      <c r="Q276" s="3" t="s">
        <v>28</v>
      </c>
      <c r="R276" s="75">
        <f t="shared" si="9"/>
        <v>0.16754738655944859</v>
      </c>
    </row>
    <row r="277" spans="1:18" x14ac:dyDescent="0.3">
      <c r="A277" s="3" t="s">
        <v>344</v>
      </c>
      <c r="B277" s="3" t="s">
        <v>14</v>
      </c>
      <c r="C277" s="10">
        <v>45450</v>
      </c>
      <c r="D277" s="3" t="s">
        <v>39</v>
      </c>
      <c r="E277" s="3" t="s">
        <v>42</v>
      </c>
      <c r="F277" s="19">
        <v>1556</v>
      </c>
      <c r="G277" s="19">
        <v>195</v>
      </c>
      <c r="H277" s="19">
        <v>131</v>
      </c>
      <c r="I277" s="19">
        <v>9336</v>
      </c>
      <c r="J277" s="19">
        <v>8875</v>
      </c>
      <c r="K277" s="19">
        <v>137</v>
      </c>
      <c r="L277" s="19">
        <f t="shared" si="8"/>
        <v>1882</v>
      </c>
      <c r="M277" s="4" t="s">
        <v>27</v>
      </c>
      <c r="N277" s="3" t="s">
        <v>27</v>
      </c>
      <c r="O277" s="3"/>
      <c r="P277" s="10"/>
      <c r="Q277" s="3" t="s">
        <v>23</v>
      </c>
      <c r="R277" s="75">
        <f t="shared" si="9"/>
        <v>0.2015852613538989</v>
      </c>
    </row>
    <row r="278" spans="1:18" x14ac:dyDescent="0.3">
      <c r="A278" s="3" t="s">
        <v>345</v>
      </c>
      <c r="B278" s="3" t="s">
        <v>38</v>
      </c>
      <c r="C278" s="10">
        <v>45753</v>
      </c>
      <c r="D278" s="3" t="s">
        <v>44</v>
      </c>
      <c r="E278" s="3" t="s">
        <v>49</v>
      </c>
      <c r="F278" s="19">
        <v>4236</v>
      </c>
      <c r="G278" s="19">
        <v>711</v>
      </c>
      <c r="H278" s="19">
        <v>298</v>
      </c>
      <c r="I278" s="19">
        <v>21180</v>
      </c>
      <c r="J278" s="19">
        <v>20516</v>
      </c>
      <c r="K278" s="19">
        <v>238</v>
      </c>
      <c r="L278" s="19">
        <f t="shared" si="8"/>
        <v>5245</v>
      </c>
      <c r="M278" s="4" t="s">
        <v>51</v>
      </c>
      <c r="N278" s="3" t="s">
        <v>51</v>
      </c>
      <c r="O278" s="3"/>
      <c r="P278" s="10"/>
      <c r="Q278" s="3" t="s">
        <v>18</v>
      </c>
      <c r="R278" s="75">
        <f t="shared" si="9"/>
        <v>0.24763928234183191</v>
      </c>
    </row>
    <row r="279" spans="1:18" x14ac:dyDescent="0.3">
      <c r="A279" s="3" t="s">
        <v>346</v>
      </c>
      <c r="B279" s="3" t="s">
        <v>14</v>
      </c>
      <c r="C279" s="10">
        <v>45622</v>
      </c>
      <c r="D279" s="3" t="s">
        <v>20</v>
      </c>
      <c r="E279" s="3" t="s">
        <v>21</v>
      </c>
      <c r="F279" s="19">
        <v>4516</v>
      </c>
      <c r="G279" s="19">
        <v>836</v>
      </c>
      <c r="H279" s="19">
        <v>169</v>
      </c>
      <c r="I279" s="19">
        <v>49676</v>
      </c>
      <c r="J279" s="19">
        <v>49257</v>
      </c>
      <c r="K279" s="19">
        <v>282</v>
      </c>
      <c r="L279" s="19">
        <f t="shared" si="8"/>
        <v>5521</v>
      </c>
      <c r="M279" s="4" t="s">
        <v>33</v>
      </c>
      <c r="N279" s="3" t="s">
        <v>33</v>
      </c>
      <c r="O279" s="3"/>
      <c r="P279" s="10"/>
      <c r="Q279" s="3" t="s">
        <v>34</v>
      </c>
      <c r="R279" s="75">
        <f t="shared" si="9"/>
        <v>0.11114018842096787</v>
      </c>
    </row>
    <row r="280" spans="1:18" x14ac:dyDescent="0.3">
      <c r="A280" s="3" t="s">
        <v>347</v>
      </c>
      <c r="B280" s="3" t="s">
        <v>25</v>
      </c>
      <c r="C280" s="10">
        <v>45537</v>
      </c>
      <c r="D280" s="3" t="s">
        <v>44</v>
      </c>
      <c r="E280" s="3" t="s">
        <v>45</v>
      </c>
      <c r="F280" s="19">
        <v>4905</v>
      </c>
      <c r="G280" s="19">
        <v>845</v>
      </c>
      <c r="H280" s="19">
        <v>129</v>
      </c>
      <c r="I280" s="19">
        <v>98100</v>
      </c>
      <c r="J280" s="19">
        <v>97772</v>
      </c>
      <c r="K280" s="19">
        <v>279</v>
      </c>
      <c r="L280" s="19">
        <f t="shared" si="8"/>
        <v>5879</v>
      </c>
      <c r="M280" s="4" t="s">
        <v>27</v>
      </c>
      <c r="N280" s="3" t="s">
        <v>27</v>
      </c>
      <c r="O280" s="3"/>
      <c r="P280" s="10"/>
      <c r="Q280" s="3" t="s">
        <v>23</v>
      </c>
      <c r="R280" s="75">
        <f t="shared" si="9"/>
        <v>5.9928644240570844E-2</v>
      </c>
    </row>
    <row r="281" spans="1:18" x14ac:dyDescent="0.3">
      <c r="A281" s="3" t="s">
        <v>348</v>
      </c>
      <c r="B281" s="3" t="s">
        <v>25</v>
      </c>
      <c r="C281" s="10">
        <v>45586</v>
      </c>
      <c r="D281" s="3" t="s">
        <v>59</v>
      </c>
      <c r="E281" s="3" t="s">
        <v>143</v>
      </c>
      <c r="F281" s="19">
        <v>4275</v>
      </c>
      <c r="G281" s="19">
        <v>680</v>
      </c>
      <c r="H281" s="19">
        <v>385</v>
      </c>
      <c r="I281" s="19">
        <v>64125</v>
      </c>
      <c r="J281" s="19">
        <v>63650</v>
      </c>
      <c r="K281" s="19">
        <v>104</v>
      </c>
      <c r="L281" s="19">
        <f t="shared" si="8"/>
        <v>5340</v>
      </c>
      <c r="M281" s="4" t="s">
        <v>117</v>
      </c>
      <c r="N281" s="3" t="s">
        <v>33</v>
      </c>
      <c r="O281" s="3" t="s">
        <v>27</v>
      </c>
      <c r="P281" s="10" t="s">
        <v>392</v>
      </c>
      <c r="Q281" s="3" t="s">
        <v>34</v>
      </c>
      <c r="R281" s="75">
        <f t="shared" si="9"/>
        <v>8.3274853801169585E-2</v>
      </c>
    </row>
    <row r="282" spans="1:18" x14ac:dyDescent="0.3">
      <c r="A282" s="3" t="s">
        <v>349</v>
      </c>
      <c r="B282" s="3" t="s">
        <v>25</v>
      </c>
      <c r="C282" s="10">
        <v>45738</v>
      </c>
      <c r="D282" s="3" t="s">
        <v>44</v>
      </c>
      <c r="E282" s="3" t="s">
        <v>45</v>
      </c>
      <c r="F282" s="19">
        <v>3166</v>
      </c>
      <c r="G282" s="19">
        <v>90</v>
      </c>
      <c r="H282" s="19">
        <v>341</v>
      </c>
      <c r="I282" s="19">
        <v>56988</v>
      </c>
      <c r="J282" s="19">
        <v>56125</v>
      </c>
      <c r="K282" s="19">
        <v>135</v>
      </c>
      <c r="L282" s="19">
        <f t="shared" si="8"/>
        <v>3597</v>
      </c>
      <c r="M282" s="4" t="s">
        <v>33</v>
      </c>
      <c r="N282" s="3" t="s">
        <v>33</v>
      </c>
      <c r="O282" s="3"/>
      <c r="P282" s="10"/>
      <c r="Q282" s="3" t="s">
        <v>23</v>
      </c>
      <c r="R282" s="75">
        <f t="shared" si="9"/>
        <v>6.3118551273952411E-2</v>
      </c>
    </row>
    <row r="283" spans="1:18" x14ac:dyDescent="0.3">
      <c r="A283" s="3" t="s">
        <v>350</v>
      </c>
      <c r="B283" s="3" t="s">
        <v>30</v>
      </c>
      <c r="C283" s="10">
        <v>45568</v>
      </c>
      <c r="D283" s="3" t="s">
        <v>59</v>
      </c>
      <c r="E283" s="3" t="s">
        <v>66</v>
      </c>
      <c r="F283" s="19">
        <v>1488</v>
      </c>
      <c r="G283" s="19">
        <v>417</v>
      </c>
      <c r="H283" s="19">
        <v>168</v>
      </c>
      <c r="I283" s="19">
        <v>19344</v>
      </c>
      <c r="J283" s="19">
        <v>18395</v>
      </c>
      <c r="K283" s="19">
        <v>30</v>
      </c>
      <c r="L283" s="19">
        <f t="shared" si="8"/>
        <v>2073</v>
      </c>
      <c r="M283" s="4" t="s">
        <v>51</v>
      </c>
      <c r="N283" s="3" t="s">
        <v>51</v>
      </c>
      <c r="O283" s="3"/>
      <c r="P283" s="10"/>
      <c r="Q283" s="3" t="s">
        <v>28</v>
      </c>
      <c r="R283" s="75">
        <f t="shared" si="9"/>
        <v>0.1071650124069479</v>
      </c>
    </row>
    <row r="284" spans="1:18" x14ac:dyDescent="0.3">
      <c r="A284" s="3" t="s">
        <v>351</v>
      </c>
      <c r="B284" s="3" t="s">
        <v>14</v>
      </c>
      <c r="C284" s="10">
        <v>45786</v>
      </c>
      <c r="D284" s="3" t="s">
        <v>15</v>
      </c>
      <c r="E284" s="3" t="s">
        <v>16</v>
      </c>
      <c r="F284" s="19">
        <v>3367</v>
      </c>
      <c r="G284" s="19">
        <v>302</v>
      </c>
      <c r="H284" s="19">
        <v>57</v>
      </c>
      <c r="I284" s="19">
        <v>63973</v>
      </c>
      <c r="J284" s="19">
        <v>63789</v>
      </c>
      <c r="K284" s="19">
        <v>157</v>
      </c>
      <c r="L284" s="19">
        <f t="shared" si="8"/>
        <v>3726</v>
      </c>
      <c r="M284" s="4" t="s">
        <v>51</v>
      </c>
      <c r="N284" s="3" t="s">
        <v>51</v>
      </c>
      <c r="O284" s="3"/>
      <c r="P284" s="10"/>
      <c r="Q284" s="3" t="s">
        <v>23</v>
      </c>
      <c r="R284" s="75">
        <f t="shared" si="9"/>
        <v>5.8243321401216137E-2</v>
      </c>
    </row>
    <row r="285" spans="1:18" x14ac:dyDescent="0.3">
      <c r="A285" s="3" t="s">
        <v>352</v>
      </c>
      <c r="B285" s="3" t="s">
        <v>14</v>
      </c>
      <c r="C285" s="10">
        <v>45552</v>
      </c>
      <c r="D285" s="3" t="s">
        <v>20</v>
      </c>
      <c r="E285" s="3" t="s">
        <v>21</v>
      </c>
      <c r="F285" s="19">
        <v>571</v>
      </c>
      <c r="G285" s="19">
        <v>190</v>
      </c>
      <c r="H285" s="19">
        <v>352</v>
      </c>
      <c r="I285" s="19">
        <v>9707</v>
      </c>
      <c r="J285" s="19">
        <v>9418</v>
      </c>
      <c r="K285" s="19">
        <v>231</v>
      </c>
      <c r="L285" s="19">
        <f t="shared" si="8"/>
        <v>1113</v>
      </c>
      <c r="M285" s="4" t="s">
        <v>27</v>
      </c>
      <c r="N285" s="3" t="s">
        <v>27</v>
      </c>
      <c r="O285" s="3"/>
      <c r="P285" s="10"/>
      <c r="Q285" s="3" t="s">
        <v>34</v>
      </c>
      <c r="R285" s="75">
        <f t="shared" si="9"/>
        <v>0.11465952405480581</v>
      </c>
    </row>
    <row r="286" spans="1:18" x14ac:dyDescent="0.3">
      <c r="A286" s="3" t="s">
        <v>353</v>
      </c>
      <c r="B286" s="3" t="s">
        <v>25</v>
      </c>
      <c r="C286" s="10">
        <v>45491</v>
      </c>
      <c r="D286" s="3" t="s">
        <v>20</v>
      </c>
      <c r="E286" s="3" t="s">
        <v>77</v>
      </c>
      <c r="F286" s="19">
        <v>4021</v>
      </c>
      <c r="G286" s="19">
        <v>794</v>
      </c>
      <c r="H286" s="19">
        <v>77</v>
      </c>
      <c r="I286" s="19">
        <v>36189</v>
      </c>
      <c r="J286" s="19">
        <v>35505</v>
      </c>
      <c r="K286" s="19">
        <v>174</v>
      </c>
      <c r="L286" s="19">
        <f t="shared" si="8"/>
        <v>4892</v>
      </c>
      <c r="M286" s="4" t="s">
        <v>33</v>
      </c>
      <c r="N286" s="3" t="s">
        <v>33</v>
      </c>
      <c r="O286" s="3"/>
      <c r="P286" s="10"/>
      <c r="Q286" s="3" t="s">
        <v>397</v>
      </c>
      <c r="R286" s="75">
        <f t="shared" si="9"/>
        <v>0.13517919809886983</v>
      </c>
    </row>
    <row r="287" spans="1:18" x14ac:dyDescent="0.3">
      <c r="A287" s="3" t="s">
        <v>354</v>
      </c>
      <c r="B287" s="3" t="s">
        <v>25</v>
      </c>
      <c r="C287" s="10">
        <v>45560</v>
      </c>
      <c r="D287" s="3" t="s">
        <v>59</v>
      </c>
      <c r="E287" s="3" t="s">
        <v>143</v>
      </c>
      <c r="F287" s="19">
        <v>3389</v>
      </c>
      <c r="G287" s="19">
        <v>344</v>
      </c>
      <c r="H287" s="19">
        <v>229</v>
      </c>
      <c r="I287" s="19">
        <v>20334</v>
      </c>
      <c r="J287" s="19">
        <v>19443</v>
      </c>
      <c r="K287" s="19">
        <v>228</v>
      </c>
      <c r="L287" s="19">
        <f t="shared" si="8"/>
        <v>3962</v>
      </c>
      <c r="M287" s="4" t="s">
        <v>51</v>
      </c>
      <c r="N287" s="3" t="s">
        <v>51</v>
      </c>
      <c r="O287" s="3"/>
      <c r="P287" s="10"/>
      <c r="Q287" s="3" t="s">
        <v>28</v>
      </c>
      <c r="R287" s="75">
        <f t="shared" si="9"/>
        <v>0.19484607062063539</v>
      </c>
    </row>
    <row r="288" spans="1:18" x14ac:dyDescent="0.3">
      <c r="A288" s="3" t="s">
        <v>355</v>
      </c>
      <c r="B288" s="3" t="s">
        <v>30</v>
      </c>
      <c r="C288" s="10">
        <v>45519</v>
      </c>
      <c r="D288" s="3" t="s">
        <v>15</v>
      </c>
      <c r="E288" s="3" t="s">
        <v>64</v>
      </c>
      <c r="F288" s="19">
        <v>1164</v>
      </c>
      <c r="G288" s="19">
        <v>616</v>
      </c>
      <c r="H288" s="19">
        <v>324</v>
      </c>
      <c r="I288" s="19">
        <v>6984</v>
      </c>
      <c r="J288" s="19">
        <v>6636</v>
      </c>
      <c r="K288" s="19">
        <v>82</v>
      </c>
      <c r="L288" s="19">
        <f t="shared" si="8"/>
        <v>2104</v>
      </c>
      <c r="M288" s="4" t="s">
        <v>33</v>
      </c>
      <c r="N288" s="3" t="s">
        <v>33</v>
      </c>
      <c r="O288" s="3"/>
      <c r="P288" s="10"/>
      <c r="Q288" s="3" t="s">
        <v>18</v>
      </c>
      <c r="R288" s="75">
        <f t="shared" si="9"/>
        <v>0.30126002290950743</v>
      </c>
    </row>
    <row r="289" spans="1:18" x14ac:dyDescent="0.3">
      <c r="A289" s="3" t="s">
        <v>356</v>
      </c>
      <c r="B289" s="3" t="s">
        <v>25</v>
      </c>
      <c r="C289" s="10">
        <v>45764</v>
      </c>
      <c r="D289" s="3" t="s">
        <v>39</v>
      </c>
      <c r="E289" s="3" t="s">
        <v>55</v>
      </c>
      <c r="F289" s="19">
        <v>4780</v>
      </c>
      <c r="G289" s="19">
        <v>691</v>
      </c>
      <c r="H289" s="19">
        <v>380</v>
      </c>
      <c r="I289" s="19">
        <v>86040</v>
      </c>
      <c r="J289" s="19">
        <v>85743</v>
      </c>
      <c r="K289" s="19">
        <v>262</v>
      </c>
      <c r="L289" s="19">
        <f t="shared" si="8"/>
        <v>5851</v>
      </c>
      <c r="M289" s="4" t="s">
        <v>51</v>
      </c>
      <c r="N289" s="3" t="s">
        <v>51</v>
      </c>
      <c r="O289" s="3"/>
      <c r="P289" s="10"/>
      <c r="Q289" s="3" t="s">
        <v>28</v>
      </c>
      <c r="R289" s="75">
        <f t="shared" si="9"/>
        <v>6.800325430032543E-2</v>
      </c>
    </row>
    <row r="290" spans="1:18" x14ac:dyDescent="0.3">
      <c r="A290" s="3" t="s">
        <v>357</v>
      </c>
      <c r="B290" s="3" t="s">
        <v>38</v>
      </c>
      <c r="C290" s="10">
        <v>45624</v>
      </c>
      <c r="D290" s="3" t="s">
        <v>39</v>
      </c>
      <c r="E290" s="3" t="s">
        <v>40</v>
      </c>
      <c r="F290" s="19">
        <v>2751</v>
      </c>
      <c r="G290" s="19">
        <v>33</v>
      </c>
      <c r="H290" s="19">
        <v>430</v>
      </c>
      <c r="I290" s="19">
        <v>44016</v>
      </c>
      <c r="J290" s="19">
        <v>43415</v>
      </c>
      <c r="K290" s="19">
        <v>129</v>
      </c>
      <c r="L290" s="19">
        <f t="shared" si="8"/>
        <v>3214</v>
      </c>
      <c r="M290" s="4" t="s">
        <v>51</v>
      </c>
      <c r="N290" s="3" t="s">
        <v>51</v>
      </c>
      <c r="O290" s="3"/>
      <c r="P290" s="10"/>
      <c r="Q290" s="3" t="s">
        <v>397</v>
      </c>
      <c r="R290" s="75">
        <f t="shared" si="9"/>
        <v>7.3018902217375503E-2</v>
      </c>
    </row>
    <row r="291" spans="1:18" x14ac:dyDescent="0.3">
      <c r="A291" s="3" t="s">
        <v>358</v>
      </c>
      <c r="B291" s="3" t="s">
        <v>30</v>
      </c>
      <c r="C291" s="10">
        <v>45646</v>
      </c>
      <c r="D291" s="3" t="s">
        <v>39</v>
      </c>
      <c r="E291" s="3" t="s">
        <v>68</v>
      </c>
      <c r="F291" s="19">
        <v>2107</v>
      </c>
      <c r="G291" s="19">
        <v>550</v>
      </c>
      <c r="H291" s="19">
        <v>349</v>
      </c>
      <c r="I291" s="19">
        <v>35819</v>
      </c>
      <c r="J291" s="19">
        <v>35340</v>
      </c>
      <c r="K291" s="19">
        <v>191</v>
      </c>
      <c r="L291" s="19">
        <f t="shared" si="8"/>
        <v>3006</v>
      </c>
      <c r="M291" s="4" t="s">
        <v>33</v>
      </c>
      <c r="N291" s="3" t="s">
        <v>33</v>
      </c>
      <c r="O291" s="3"/>
      <c r="P291" s="10"/>
      <c r="Q291" s="3" t="s">
        <v>34</v>
      </c>
      <c r="R291" s="75">
        <f t="shared" si="9"/>
        <v>8.3921940869371006E-2</v>
      </c>
    </row>
    <row r="292" spans="1:18" x14ac:dyDescent="0.3">
      <c r="A292" s="3" t="s">
        <v>359</v>
      </c>
      <c r="B292" s="3" t="s">
        <v>38</v>
      </c>
      <c r="C292" s="10">
        <v>45602</v>
      </c>
      <c r="D292" s="3" t="s">
        <v>59</v>
      </c>
      <c r="E292" s="3" t="s">
        <v>60</v>
      </c>
      <c r="F292" s="19">
        <v>4663</v>
      </c>
      <c r="G292" s="19">
        <v>145</v>
      </c>
      <c r="H292" s="19">
        <v>225</v>
      </c>
      <c r="I292" s="19">
        <v>69945</v>
      </c>
      <c r="J292" s="19">
        <v>69596</v>
      </c>
      <c r="K292" s="19">
        <v>35</v>
      </c>
      <c r="L292" s="19">
        <f t="shared" si="8"/>
        <v>5033</v>
      </c>
      <c r="M292" s="4" t="s">
        <v>33</v>
      </c>
      <c r="N292" s="3" t="s">
        <v>33</v>
      </c>
      <c r="O292" s="3"/>
      <c r="P292" s="10"/>
      <c r="Q292" s="3" t="s">
        <v>34</v>
      </c>
      <c r="R292" s="75">
        <f t="shared" si="9"/>
        <v>7.1956537279290869E-2</v>
      </c>
    </row>
    <row r="293" spans="1:18" x14ac:dyDescent="0.3">
      <c r="A293" s="3" t="s">
        <v>360</v>
      </c>
      <c r="B293" s="3" t="s">
        <v>38</v>
      </c>
      <c r="C293" s="10">
        <v>45613</v>
      </c>
      <c r="D293" s="3" t="s">
        <v>20</v>
      </c>
      <c r="E293" s="3" t="s">
        <v>47</v>
      </c>
      <c r="F293" s="19">
        <v>880</v>
      </c>
      <c r="G293" s="19">
        <v>297</v>
      </c>
      <c r="H293" s="19">
        <v>345</v>
      </c>
      <c r="I293" s="19">
        <v>12320</v>
      </c>
      <c r="J293" s="19">
        <v>11978</v>
      </c>
      <c r="K293" s="19">
        <v>238</v>
      </c>
      <c r="L293" s="19">
        <f t="shared" si="8"/>
        <v>1522</v>
      </c>
      <c r="M293" s="4" t="s">
        <v>72</v>
      </c>
      <c r="N293" s="3" t="s">
        <v>27</v>
      </c>
      <c r="O293" s="3" t="s">
        <v>392</v>
      </c>
      <c r="P293" s="10"/>
      <c r="Q293" s="3" t="s">
        <v>397</v>
      </c>
      <c r="R293" s="75">
        <f t="shared" si="9"/>
        <v>0.12353896103896105</v>
      </c>
    </row>
    <row r="294" spans="1:18" x14ac:dyDescent="0.3">
      <c r="A294" s="3" t="s">
        <v>361</v>
      </c>
      <c r="B294" s="3" t="s">
        <v>38</v>
      </c>
      <c r="C294" s="10">
        <v>45791</v>
      </c>
      <c r="D294" s="3" t="s">
        <v>20</v>
      </c>
      <c r="E294" s="3" t="s">
        <v>47</v>
      </c>
      <c r="F294" s="19">
        <v>2634</v>
      </c>
      <c r="G294" s="19">
        <v>726</v>
      </c>
      <c r="H294" s="19">
        <v>241</v>
      </c>
      <c r="I294" s="19">
        <v>28974</v>
      </c>
      <c r="J294" s="19">
        <v>28102</v>
      </c>
      <c r="K294" s="19">
        <v>277</v>
      </c>
      <c r="L294" s="19">
        <f t="shared" si="8"/>
        <v>3601</v>
      </c>
      <c r="M294" s="4" t="s">
        <v>33</v>
      </c>
      <c r="N294" s="3" t="s">
        <v>33</v>
      </c>
      <c r="O294" s="3"/>
      <c r="P294" s="10"/>
      <c r="Q294" s="3" t="s">
        <v>18</v>
      </c>
      <c r="R294" s="75">
        <f t="shared" si="9"/>
        <v>0.12428384068475185</v>
      </c>
    </row>
    <row r="295" spans="1:18" x14ac:dyDescent="0.3">
      <c r="A295" s="3" t="s">
        <v>362</v>
      </c>
      <c r="B295" s="3" t="s">
        <v>38</v>
      </c>
      <c r="C295" s="10">
        <v>45462</v>
      </c>
      <c r="D295" s="3" t="s">
        <v>39</v>
      </c>
      <c r="E295" s="3" t="s">
        <v>40</v>
      </c>
      <c r="F295" s="19">
        <v>4731</v>
      </c>
      <c r="G295" s="19">
        <v>173</v>
      </c>
      <c r="H295" s="19">
        <v>276</v>
      </c>
      <c r="I295" s="19">
        <v>28386</v>
      </c>
      <c r="J295" s="19">
        <v>28185</v>
      </c>
      <c r="K295" s="19">
        <v>89</v>
      </c>
      <c r="L295" s="19">
        <f t="shared" si="8"/>
        <v>5180</v>
      </c>
      <c r="M295" s="4" t="s">
        <v>33</v>
      </c>
      <c r="N295" s="3" t="s">
        <v>33</v>
      </c>
      <c r="O295" s="3"/>
      <c r="P295" s="10"/>
      <c r="Q295" s="3" t="s">
        <v>28</v>
      </c>
      <c r="R295" s="75">
        <f t="shared" si="9"/>
        <v>0.18248432325794406</v>
      </c>
    </row>
    <row r="296" spans="1:18" x14ac:dyDescent="0.3">
      <c r="A296" s="3" t="s">
        <v>363</v>
      </c>
      <c r="B296" s="3" t="s">
        <v>14</v>
      </c>
      <c r="C296" s="10">
        <v>45783</v>
      </c>
      <c r="D296" s="3" t="s">
        <v>44</v>
      </c>
      <c r="E296" s="3" t="s">
        <v>92</v>
      </c>
      <c r="F296" s="19">
        <v>1952</v>
      </c>
      <c r="G296" s="19">
        <v>344</v>
      </c>
      <c r="H296" s="19">
        <v>287</v>
      </c>
      <c r="I296" s="19">
        <v>15616</v>
      </c>
      <c r="J296" s="19">
        <v>15403</v>
      </c>
      <c r="K296" s="19">
        <v>235</v>
      </c>
      <c r="L296" s="19">
        <f t="shared" si="8"/>
        <v>2583</v>
      </c>
      <c r="M296" s="4" t="s">
        <v>141</v>
      </c>
      <c r="N296" s="3" t="s">
        <v>51</v>
      </c>
      <c r="O296" s="3" t="s">
        <v>27</v>
      </c>
      <c r="P296" s="10" t="s">
        <v>392</v>
      </c>
      <c r="Q296" s="3" t="s">
        <v>23</v>
      </c>
      <c r="R296" s="75">
        <f t="shared" si="9"/>
        <v>0.16540727459016394</v>
      </c>
    </row>
    <row r="297" spans="1:18" x14ac:dyDescent="0.3">
      <c r="A297" s="3" t="s">
        <v>364</v>
      </c>
      <c r="B297" s="3" t="s">
        <v>14</v>
      </c>
      <c r="C297" s="10">
        <v>45699</v>
      </c>
      <c r="D297" s="3" t="s">
        <v>59</v>
      </c>
      <c r="E297" s="3" t="s">
        <v>99</v>
      </c>
      <c r="F297" s="19">
        <v>3440</v>
      </c>
      <c r="G297" s="19">
        <v>13</v>
      </c>
      <c r="H297" s="19">
        <v>20</v>
      </c>
      <c r="I297" s="19">
        <v>58480</v>
      </c>
      <c r="J297" s="19">
        <v>58146</v>
      </c>
      <c r="K297" s="19">
        <v>210</v>
      </c>
      <c r="L297" s="19">
        <f t="shared" si="8"/>
        <v>3473</v>
      </c>
      <c r="M297" s="4" t="s">
        <v>268</v>
      </c>
      <c r="N297" s="3" t="s">
        <v>27</v>
      </c>
      <c r="O297" s="3" t="s">
        <v>388</v>
      </c>
      <c r="P297" s="10"/>
      <c r="Q297" s="3" t="s">
        <v>34</v>
      </c>
      <c r="R297" s="75">
        <f t="shared" si="9"/>
        <v>5.9387824897400819E-2</v>
      </c>
    </row>
    <row r="298" spans="1:18" x14ac:dyDescent="0.3">
      <c r="A298" s="3" t="s">
        <v>365</v>
      </c>
      <c r="B298" s="3" t="s">
        <v>14</v>
      </c>
      <c r="C298" s="10">
        <v>45650</v>
      </c>
      <c r="D298" s="3" t="s">
        <v>20</v>
      </c>
      <c r="E298" s="3" t="s">
        <v>21</v>
      </c>
      <c r="F298" s="19">
        <v>2166</v>
      </c>
      <c r="G298" s="19">
        <v>354</v>
      </c>
      <c r="H298" s="19">
        <v>117</v>
      </c>
      <c r="I298" s="19">
        <v>10830</v>
      </c>
      <c r="J298" s="19">
        <v>10245</v>
      </c>
      <c r="K298" s="19">
        <v>24</v>
      </c>
      <c r="L298" s="19">
        <f t="shared" si="8"/>
        <v>2637</v>
      </c>
      <c r="M298" s="4" t="s">
        <v>33</v>
      </c>
      <c r="N298" s="3" t="s">
        <v>33</v>
      </c>
      <c r="O298" s="3"/>
      <c r="P298" s="10"/>
      <c r="Q298" s="3" t="s">
        <v>34</v>
      </c>
      <c r="R298" s="75">
        <f t="shared" si="9"/>
        <v>0.24349030470914126</v>
      </c>
    </row>
    <row r="299" spans="1:18" x14ac:dyDescent="0.3">
      <c r="A299" s="3" t="s">
        <v>366</v>
      </c>
      <c r="B299" s="3" t="s">
        <v>38</v>
      </c>
      <c r="C299" s="10">
        <v>45589</v>
      </c>
      <c r="D299" s="3" t="s">
        <v>44</v>
      </c>
      <c r="E299" s="3" t="s">
        <v>49</v>
      </c>
      <c r="F299" s="19">
        <v>4303</v>
      </c>
      <c r="G299" s="19">
        <v>451</v>
      </c>
      <c r="H299" s="19">
        <v>286</v>
      </c>
      <c r="I299" s="19">
        <v>86060</v>
      </c>
      <c r="J299" s="19">
        <v>85823</v>
      </c>
      <c r="K299" s="19">
        <v>14</v>
      </c>
      <c r="L299" s="19">
        <f t="shared" si="8"/>
        <v>5040</v>
      </c>
      <c r="M299" s="4" t="s">
        <v>27</v>
      </c>
      <c r="N299" s="3" t="s">
        <v>27</v>
      </c>
      <c r="O299" s="3"/>
      <c r="P299" s="10"/>
      <c r="Q299" s="3" t="s">
        <v>28</v>
      </c>
      <c r="R299" s="75">
        <f t="shared" si="9"/>
        <v>5.8563792702765516E-2</v>
      </c>
    </row>
    <row r="300" spans="1:18" x14ac:dyDescent="0.3">
      <c r="A300" s="3" t="s">
        <v>367</v>
      </c>
      <c r="B300" s="3" t="s">
        <v>38</v>
      </c>
      <c r="C300" s="10">
        <v>45530</v>
      </c>
      <c r="D300" s="3" t="s">
        <v>44</v>
      </c>
      <c r="E300" s="3" t="s">
        <v>49</v>
      </c>
      <c r="F300" s="19">
        <v>2581</v>
      </c>
      <c r="G300" s="19">
        <v>517</v>
      </c>
      <c r="H300" s="19">
        <v>117</v>
      </c>
      <c r="I300" s="19">
        <v>23229</v>
      </c>
      <c r="J300" s="19">
        <v>22331</v>
      </c>
      <c r="K300" s="19">
        <v>70</v>
      </c>
      <c r="L300" s="19">
        <f t="shared" si="8"/>
        <v>3215</v>
      </c>
      <c r="M300" s="4" t="s">
        <v>51</v>
      </c>
      <c r="N300" s="3" t="s">
        <v>51</v>
      </c>
      <c r="O300" s="3"/>
      <c r="P300" s="10"/>
      <c r="Q300" s="3" t="s">
        <v>28</v>
      </c>
      <c r="R300" s="75">
        <f t="shared" si="9"/>
        <v>0.13840458048129492</v>
      </c>
    </row>
    <row r="301" spans="1:18" x14ac:dyDescent="0.3">
      <c r="A301" s="3" t="s">
        <v>368</v>
      </c>
      <c r="B301" s="3" t="s">
        <v>14</v>
      </c>
      <c r="C301" s="10">
        <v>45535</v>
      </c>
      <c r="D301" s="3" t="s">
        <v>39</v>
      </c>
      <c r="E301" s="3" t="s">
        <v>42</v>
      </c>
      <c r="F301" s="19">
        <v>4494</v>
      </c>
      <c r="G301" s="19">
        <v>717</v>
      </c>
      <c r="H301" s="19">
        <v>45</v>
      </c>
      <c r="I301" s="19">
        <v>62916</v>
      </c>
      <c r="J301" s="19">
        <v>62688</v>
      </c>
      <c r="K301" s="19">
        <v>191</v>
      </c>
      <c r="L301" s="19">
        <f t="shared" si="8"/>
        <v>5256</v>
      </c>
      <c r="M301" s="4" t="s">
        <v>328</v>
      </c>
      <c r="N301" s="3" t="s">
        <v>27</v>
      </c>
      <c r="O301" s="3" t="s">
        <v>33</v>
      </c>
      <c r="P301" s="10" t="s">
        <v>393</v>
      </c>
      <c r="Q301" s="3" t="s">
        <v>18</v>
      </c>
      <c r="R301" s="75">
        <f t="shared" si="9"/>
        <v>8.3539958039290485E-2</v>
      </c>
    </row>
  </sheetData>
  <conditionalFormatting sqref="A1:A301">
    <cfRule type="duplicateValues" dxfId="1"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4C91-C0E8-4F42-BE37-2B9A96C56DA2}">
  <dimension ref="A1:Q340"/>
  <sheetViews>
    <sheetView topLeftCell="M1" workbookViewId="0">
      <selection activeCell="O8" sqref="O8"/>
    </sheetView>
  </sheetViews>
  <sheetFormatPr defaultRowHeight="14.4" x14ac:dyDescent="0.3"/>
  <cols>
    <col min="1" max="1" width="9.109375" bestFit="1" customWidth="1"/>
    <col min="2" max="2" width="10.5546875" bestFit="1" customWidth="1"/>
    <col min="3" max="3" width="15.44140625" bestFit="1" customWidth="1"/>
    <col min="4" max="4" width="14.5546875" bestFit="1" customWidth="1"/>
    <col min="5" max="5" width="37" bestFit="1" customWidth="1"/>
    <col min="6" max="6" width="7.33203125" bestFit="1" customWidth="1"/>
    <col min="7" max="7" width="8.77734375" bestFit="1" customWidth="1"/>
    <col min="8" max="8" width="12.33203125" bestFit="1" customWidth="1"/>
    <col min="9" max="9" width="13.21875" bestFit="1" customWidth="1"/>
    <col min="10" max="10" width="8.33203125" bestFit="1" customWidth="1"/>
    <col min="11" max="11" width="7.88671875" bestFit="1" customWidth="1"/>
    <col min="12" max="12" width="13.77734375" bestFit="1" customWidth="1"/>
    <col min="13" max="13" width="47.33203125" bestFit="1" customWidth="1"/>
    <col min="14" max="14" width="17.77734375" bestFit="1" customWidth="1"/>
    <col min="15" max="15" width="18.6640625" bestFit="1" customWidth="1"/>
    <col min="16" max="16" width="10.77734375" bestFit="1" customWidth="1"/>
    <col min="17" max="17" width="20.21875" bestFit="1" customWidth="1"/>
  </cols>
  <sheetData>
    <row r="1" spans="1:17" x14ac:dyDescent="0.3">
      <c r="A1" t="s">
        <v>0</v>
      </c>
      <c r="B1" t="s">
        <v>1</v>
      </c>
      <c r="C1" t="s">
        <v>2</v>
      </c>
      <c r="D1" t="s">
        <v>3</v>
      </c>
      <c r="E1" t="s">
        <v>4</v>
      </c>
      <c r="F1" t="s">
        <v>5</v>
      </c>
      <c r="G1" t="s">
        <v>6</v>
      </c>
      <c r="H1" t="s">
        <v>7</v>
      </c>
      <c r="I1" t="s">
        <v>8</v>
      </c>
      <c r="J1" t="s">
        <v>9</v>
      </c>
      <c r="K1" t="s">
        <v>10</v>
      </c>
      <c r="L1" s="62" t="s">
        <v>383</v>
      </c>
      <c r="M1" t="s">
        <v>11</v>
      </c>
      <c r="N1" t="s">
        <v>12</v>
      </c>
      <c r="O1" t="s">
        <v>373</v>
      </c>
      <c r="P1" t="s">
        <v>414</v>
      </c>
      <c r="Q1" t="s">
        <v>415</v>
      </c>
    </row>
    <row r="2" spans="1:17" x14ac:dyDescent="0.3">
      <c r="A2" t="s">
        <v>298</v>
      </c>
      <c r="B2" t="s">
        <v>38</v>
      </c>
      <c r="C2" s="48">
        <v>45444</v>
      </c>
      <c r="D2" t="s">
        <v>20</v>
      </c>
      <c r="E2" t="s">
        <v>47</v>
      </c>
      <c r="F2">
        <v>1272</v>
      </c>
      <c r="G2">
        <v>465</v>
      </c>
      <c r="H2">
        <v>99</v>
      </c>
      <c r="I2">
        <v>24168</v>
      </c>
      <c r="J2">
        <v>23719</v>
      </c>
      <c r="K2">
        <v>42</v>
      </c>
      <c r="L2">
        <f>SUM(Table2_1[[#This Row],[Likes]:[Comments]])</f>
        <v>1836</v>
      </c>
      <c r="M2" t="s">
        <v>27</v>
      </c>
      <c r="N2" t="s">
        <v>397</v>
      </c>
      <c r="O2" s="67">
        <v>7.5968222442899705E-2</v>
      </c>
      <c r="P2" t="s">
        <v>394</v>
      </c>
      <c r="Q2" t="s">
        <v>27</v>
      </c>
    </row>
    <row r="3" spans="1:17" x14ac:dyDescent="0.3">
      <c r="A3" t="s">
        <v>264</v>
      </c>
      <c r="B3" t="s">
        <v>38</v>
      </c>
      <c r="C3" s="48">
        <v>45445</v>
      </c>
      <c r="D3" t="s">
        <v>44</v>
      </c>
      <c r="E3" t="s">
        <v>49</v>
      </c>
      <c r="F3">
        <v>1871</v>
      </c>
      <c r="G3">
        <v>252</v>
      </c>
      <c r="H3">
        <v>335</v>
      </c>
      <c r="I3">
        <v>29936</v>
      </c>
      <c r="J3">
        <v>29576</v>
      </c>
      <c r="K3">
        <v>288</v>
      </c>
      <c r="L3">
        <f>SUM(Table2_1[[#This Row],[Likes]:[Comments]])</f>
        <v>2458</v>
      </c>
      <c r="M3" t="s">
        <v>33</v>
      </c>
      <c r="N3" t="s">
        <v>28</v>
      </c>
      <c r="O3" s="67">
        <v>8.2108498129342594E-2</v>
      </c>
      <c r="P3" t="s">
        <v>394</v>
      </c>
      <c r="Q3" t="s">
        <v>33</v>
      </c>
    </row>
    <row r="4" spans="1:17" x14ac:dyDescent="0.3">
      <c r="A4" t="s">
        <v>283</v>
      </c>
      <c r="B4" t="s">
        <v>30</v>
      </c>
      <c r="C4" s="48">
        <v>45445</v>
      </c>
      <c r="D4" t="s">
        <v>31</v>
      </c>
      <c r="E4" t="s">
        <v>32</v>
      </c>
      <c r="F4">
        <v>84</v>
      </c>
      <c r="G4">
        <v>897</v>
      </c>
      <c r="H4">
        <v>85</v>
      </c>
      <c r="I4">
        <v>588</v>
      </c>
      <c r="J4">
        <v>8</v>
      </c>
      <c r="K4">
        <v>12</v>
      </c>
      <c r="L4">
        <f>SUM(Table2_1[[#This Row],[Likes]:[Comments]])</f>
        <v>1066</v>
      </c>
      <c r="M4" t="s">
        <v>33</v>
      </c>
      <c r="N4" t="s">
        <v>397</v>
      </c>
      <c r="O4" s="67">
        <v>1.8129251700680271</v>
      </c>
      <c r="P4" t="s">
        <v>394</v>
      </c>
      <c r="Q4" t="s">
        <v>33</v>
      </c>
    </row>
    <row r="5" spans="1:17" x14ac:dyDescent="0.3">
      <c r="A5" t="s">
        <v>150</v>
      </c>
      <c r="B5" t="s">
        <v>30</v>
      </c>
      <c r="C5" s="48">
        <v>45446</v>
      </c>
      <c r="D5" t="s">
        <v>44</v>
      </c>
      <c r="E5" t="s">
        <v>140</v>
      </c>
      <c r="F5">
        <v>3861</v>
      </c>
      <c r="G5">
        <v>960</v>
      </c>
      <c r="H5">
        <v>101</v>
      </c>
      <c r="I5">
        <v>69498</v>
      </c>
      <c r="J5">
        <v>68817</v>
      </c>
      <c r="K5">
        <v>297</v>
      </c>
      <c r="L5">
        <f>SUM(Table2_1[[#This Row],[Likes]:[Comments]])</f>
        <v>4922</v>
      </c>
      <c r="M5" t="s">
        <v>27</v>
      </c>
      <c r="N5" t="s">
        <v>34</v>
      </c>
      <c r="O5" s="67">
        <v>7.0822181933293038E-2</v>
      </c>
      <c r="P5" t="s">
        <v>394</v>
      </c>
      <c r="Q5" t="s">
        <v>27</v>
      </c>
    </row>
    <row r="6" spans="1:17" x14ac:dyDescent="0.3">
      <c r="A6" t="s">
        <v>207</v>
      </c>
      <c r="B6" t="s">
        <v>25</v>
      </c>
      <c r="C6" s="48">
        <v>45448</v>
      </c>
      <c r="D6" t="s">
        <v>15</v>
      </c>
      <c r="E6" t="s">
        <v>26</v>
      </c>
      <c r="F6">
        <v>3065</v>
      </c>
      <c r="G6">
        <v>772</v>
      </c>
      <c r="H6">
        <v>142</v>
      </c>
      <c r="I6">
        <v>18390</v>
      </c>
      <c r="J6">
        <v>17875</v>
      </c>
      <c r="K6">
        <v>200</v>
      </c>
      <c r="L6">
        <f>SUM(Table2_1[[#This Row],[Likes]:[Comments]])</f>
        <v>3979</v>
      </c>
      <c r="M6" t="s">
        <v>208</v>
      </c>
      <c r="N6" t="s">
        <v>397</v>
      </c>
      <c r="O6" s="67">
        <v>0.21636759108210984</v>
      </c>
      <c r="P6" t="s">
        <v>394</v>
      </c>
      <c r="Q6" t="s">
        <v>33</v>
      </c>
    </row>
    <row r="7" spans="1:17" x14ac:dyDescent="0.3">
      <c r="A7" t="s">
        <v>207</v>
      </c>
      <c r="B7" t="s">
        <v>25</v>
      </c>
      <c r="C7" s="48">
        <v>45448</v>
      </c>
      <c r="D7" t="s">
        <v>15</v>
      </c>
      <c r="E7" t="s">
        <v>26</v>
      </c>
      <c r="F7">
        <v>3065</v>
      </c>
      <c r="G7">
        <v>772</v>
      </c>
      <c r="H7">
        <v>142</v>
      </c>
      <c r="I7">
        <v>18390</v>
      </c>
      <c r="J7">
        <v>17875</v>
      </c>
      <c r="K7">
        <v>200</v>
      </c>
      <c r="L7">
        <f>SUM(Table2_1[[#This Row],[Likes]:[Comments]])</f>
        <v>3979</v>
      </c>
      <c r="M7" t="s">
        <v>208</v>
      </c>
      <c r="N7" t="s">
        <v>397</v>
      </c>
      <c r="O7" s="67">
        <v>0.21636759108210984</v>
      </c>
      <c r="P7" t="s">
        <v>395</v>
      </c>
      <c r="Q7" t="s">
        <v>392</v>
      </c>
    </row>
    <row r="8" spans="1:17" x14ac:dyDescent="0.3">
      <c r="A8" t="s">
        <v>147</v>
      </c>
      <c r="B8" t="s">
        <v>14</v>
      </c>
      <c r="C8" s="48">
        <v>45449</v>
      </c>
      <c r="D8" t="s">
        <v>59</v>
      </c>
      <c r="E8" t="s">
        <v>99</v>
      </c>
      <c r="F8">
        <v>1436</v>
      </c>
      <c r="G8">
        <v>765</v>
      </c>
      <c r="H8">
        <v>496</v>
      </c>
      <c r="I8">
        <v>12924</v>
      </c>
      <c r="J8">
        <v>12701</v>
      </c>
      <c r="K8">
        <v>197</v>
      </c>
      <c r="L8">
        <f>SUM(Table2_1[[#This Row],[Likes]:[Comments]])</f>
        <v>2697</v>
      </c>
      <c r="M8" t="s">
        <v>51</v>
      </c>
      <c r="N8" t="s">
        <v>28</v>
      </c>
      <c r="O8" s="67">
        <v>0.20868152274837512</v>
      </c>
      <c r="P8" t="s">
        <v>394</v>
      </c>
      <c r="Q8" t="s">
        <v>51</v>
      </c>
    </row>
    <row r="9" spans="1:17" x14ac:dyDescent="0.3">
      <c r="A9" t="s">
        <v>250</v>
      </c>
      <c r="B9" t="s">
        <v>25</v>
      </c>
      <c r="C9" s="48">
        <v>45449</v>
      </c>
      <c r="D9" t="s">
        <v>15</v>
      </c>
      <c r="E9" t="s">
        <v>26</v>
      </c>
      <c r="F9">
        <v>2728</v>
      </c>
      <c r="G9">
        <v>533</v>
      </c>
      <c r="H9">
        <v>215</v>
      </c>
      <c r="I9">
        <v>40920</v>
      </c>
      <c r="J9">
        <v>40816</v>
      </c>
      <c r="K9">
        <v>137</v>
      </c>
      <c r="L9">
        <f>SUM(Table2_1[[#This Row],[Likes]:[Comments]])</f>
        <v>3476</v>
      </c>
      <c r="M9" t="s">
        <v>51</v>
      </c>
      <c r="N9" t="s">
        <v>23</v>
      </c>
      <c r="O9" s="67">
        <v>8.4946236559139784E-2</v>
      </c>
      <c r="P9" t="s">
        <v>394</v>
      </c>
      <c r="Q9" t="s">
        <v>51</v>
      </c>
    </row>
    <row r="10" spans="1:17" x14ac:dyDescent="0.3">
      <c r="A10" t="s">
        <v>344</v>
      </c>
      <c r="B10" t="s">
        <v>14</v>
      </c>
      <c r="C10" s="48">
        <v>45450</v>
      </c>
      <c r="D10" t="s">
        <v>39</v>
      </c>
      <c r="E10" t="s">
        <v>42</v>
      </c>
      <c r="F10">
        <v>1556</v>
      </c>
      <c r="G10">
        <v>195</v>
      </c>
      <c r="H10">
        <v>131</v>
      </c>
      <c r="I10">
        <v>9336</v>
      </c>
      <c r="J10">
        <v>8875</v>
      </c>
      <c r="K10">
        <v>137</v>
      </c>
      <c r="L10">
        <f>SUM(Table2_1[[#This Row],[Likes]:[Comments]])</f>
        <v>1882</v>
      </c>
      <c r="M10" t="s">
        <v>27</v>
      </c>
      <c r="N10" t="s">
        <v>23</v>
      </c>
      <c r="O10" s="67">
        <v>0.2015852613538989</v>
      </c>
      <c r="P10" t="s">
        <v>394</v>
      </c>
      <c r="Q10" t="s">
        <v>27</v>
      </c>
    </row>
    <row r="11" spans="1:17" x14ac:dyDescent="0.3">
      <c r="A11" t="s">
        <v>103</v>
      </c>
      <c r="B11" t="s">
        <v>14</v>
      </c>
      <c r="C11" s="48">
        <v>45453</v>
      </c>
      <c r="D11" t="s">
        <v>31</v>
      </c>
      <c r="E11" t="s">
        <v>102</v>
      </c>
      <c r="F11">
        <v>2164</v>
      </c>
      <c r="G11">
        <v>549</v>
      </c>
      <c r="H11">
        <v>274</v>
      </c>
      <c r="I11">
        <v>28132</v>
      </c>
      <c r="J11">
        <v>27361</v>
      </c>
      <c r="K11">
        <v>177</v>
      </c>
      <c r="L11">
        <f>SUM(Table2_1[[#This Row],[Likes]:[Comments]])</f>
        <v>2987</v>
      </c>
      <c r="M11" t="s">
        <v>27</v>
      </c>
      <c r="N11" t="s">
        <v>34</v>
      </c>
      <c r="O11" s="67">
        <v>0.10617801791554102</v>
      </c>
      <c r="P11" t="s">
        <v>394</v>
      </c>
      <c r="Q11" t="s">
        <v>27</v>
      </c>
    </row>
    <row r="12" spans="1:17" x14ac:dyDescent="0.3">
      <c r="A12" t="s">
        <v>158</v>
      </c>
      <c r="B12" t="s">
        <v>14</v>
      </c>
      <c r="C12" s="48">
        <v>45453</v>
      </c>
      <c r="D12" t="s">
        <v>31</v>
      </c>
      <c r="E12" t="s">
        <v>102</v>
      </c>
      <c r="F12">
        <v>1575</v>
      </c>
      <c r="G12">
        <v>771</v>
      </c>
      <c r="H12">
        <v>486</v>
      </c>
      <c r="I12">
        <v>25200</v>
      </c>
      <c r="J12">
        <v>24826</v>
      </c>
      <c r="K12">
        <v>17</v>
      </c>
      <c r="L12">
        <f>SUM(Table2_1[[#This Row],[Likes]:[Comments]])</f>
        <v>2832</v>
      </c>
      <c r="M12" t="s">
        <v>51</v>
      </c>
      <c r="N12" t="s">
        <v>34</v>
      </c>
      <c r="O12" s="67">
        <v>0.11238095238095239</v>
      </c>
      <c r="P12" t="s">
        <v>394</v>
      </c>
      <c r="Q12" t="s">
        <v>51</v>
      </c>
    </row>
    <row r="13" spans="1:17" x14ac:dyDescent="0.3">
      <c r="A13" t="s">
        <v>163</v>
      </c>
      <c r="B13" t="s">
        <v>38</v>
      </c>
      <c r="C13" s="48">
        <v>45454</v>
      </c>
      <c r="D13" t="s">
        <v>44</v>
      </c>
      <c r="E13" t="s">
        <v>49</v>
      </c>
      <c r="F13">
        <v>3689</v>
      </c>
      <c r="G13">
        <v>48</v>
      </c>
      <c r="H13">
        <v>306</v>
      </c>
      <c r="I13">
        <v>40579</v>
      </c>
      <c r="J13">
        <v>39588</v>
      </c>
      <c r="K13">
        <v>212</v>
      </c>
      <c r="L13">
        <f>SUM(Table2_1[[#This Row],[Likes]:[Comments]])</f>
        <v>4043</v>
      </c>
      <c r="M13" t="s">
        <v>33</v>
      </c>
      <c r="N13" t="s">
        <v>23</v>
      </c>
      <c r="O13" s="67">
        <v>9.9632815002833983E-2</v>
      </c>
      <c r="P13" t="s">
        <v>394</v>
      </c>
      <c r="Q13" t="s">
        <v>33</v>
      </c>
    </row>
    <row r="14" spans="1:17" x14ac:dyDescent="0.3">
      <c r="A14" t="s">
        <v>281</v>
      </c>
      <c r="B14" t="s">
        <v>38</v>
      </c>
      <c r="C14" s="48">
        <v>45454</v>
      </c>
      <c r="D14" t="s">
        <v>39</v>
      </c>
      <c r="E14" t="s">
        <v>40</v>
      </c>
      <c r="F14">
        <v>1869</v>
      </c>
      <c r="G14">
        <v>453</v>
      </c>
      <c r="H14">
        <v>490</v>
      </c>
      <c r="I14">
        <v>14952</v>
      </c>
      <c r="J14">
        <v>14309</v>
      </c>
      <c r="K14">
        <v>275</v>
      </c>
      <c r="L14">
        <f>SUM(Table2_1[[#This Row],[Likes]:[Comments]])</f>
        <v>2812</v>
      </c>
      <c r="M14" t="s">
        <v>27</v>
      </c>
      <c r="N14" t="s">
        <v>34</v>
      </c>
      <c r="O14" s="67">
        <v>0.18806848582129482</v>
      </c>
      <c r="P14" t="s">
        <v>394</v>
      </c>
      <c r="Q14" t="s">
        <v>27</v>
      </c>
    </row>
    <row r="15" spans="1:17" x14ac:dyDescent="0.3">
      <c r="A15" t="s">
        <v>291</v>
      </c>
      <c r="B15" t="s">
        <v>30</v>
      </c>
      <c r="C15" s="48">
        <v>45455</v>
      </c>
      <c r="D15" t="s">
        <v>20</v>
      </c>
      <c r="E15" t="s">
        <v>82</v>
      </c>
      <c r="F15">
        <v>246</v>
      </c>
      <c r="G15">
        <v>149</v>
      </c>
      <c r="H15">
        <v>130</v>
      </c>
      <c r="I15">
        <v>4674</v>
      </c>
      <c r="J15">
        <v>4390</v>
      </c>
      <c r="K15">
        <v>217</v>
      </c>
      <c r="L15">
        <f>SUM(Table2_1[[#This Row],[Likes]:[Comments]])</f>
        <v>525</v>
      </c>
      <c r="M15" t="s">
        <v>51</v>
      </c>
      <c r="N15" t="s">
        <v>28</v>
      </c>
      <c r="O15" s="67">
        <v>0.11232349165596919</v>
      </c>
      <c r="P15" t="s">
        <v>394</v>
      </c>
      <c r="Q15" t="s">
        <v>51</v>
      </c>
    </row>
    <row r="16" spans="1:17" x14ac:dyDescent="0.3">
      <c r="A16" t="s">
        <v>106</v>
      </c>
      <c r="B16" t="s">
        <v>38</v>
      </c>
      <c r="C16" s="48">
        <v>45456</v>
      </c>
      <c r="D16" t="s">
        <v>39</v>
      </c>
      <c r="E16" t="s">
        <v>40</v>
      </c>
      <c r="F16">
        <v>2200</v>
      </c>
      <c r="G16">
        <v>504</v>
      </c>
      <c r="H16">
        <v>239</v>
      </c>
      <c r="I16">
        <v>37400</v>
      </c>
      <c r="J16">
        <v>36938</v>
      </c>
      <c r="K16">
        <v>225</v>
      </c>
      <c r="L16">
        <f>SUM(Table2_1[[#This Row],[Likes]:[Comments]])</f>
        <v>2943</v>
      </c>
      <c r="M16" t="s">
        <v>51</v>
      </c>
      <c r="N16" t="s">
        <v>23</v>
      </c>
      <c r="O16" s="67">
        <v>7.8689839572192513E-2</v>
      </c>
      <c r="P16" t="s">
        <v>394</v>
      </c>
      <c r="Q16" t="s">
        <v>51</v>
      </c>
    </row>
    <row r="17" spans="1:17" x14ac:dyDescent="0.3">
      <c r="A17" t="s">
        <v>137</v>
      </c>
      <c r="B17" t="s">
        <v>30</v>
      </c>
      <c r="C17" s="48">
        <v>45456</v>
      </c>
      <c r="D17" t="s">
        <v>31</v>
      </c>
      <c r="E17" t="s">
        <v>32</v>
      </c>
      <c r="F17">
        <v>2103</v>
      </c>
      <c r="G17">
        <v>892</v>
      </c>
      <c r="H17">
        <v>103</v>
      </c>
      <c r="I17">
        <v>39957</v>
      </c>
      <c r="J17">
        <v>39466</v>
      </c>
      <c r="K17">
        <v>28</v>
      </c>
      <c r="L17">
        <f>SUM(Table2_1[[#This Row],[Likes]:[Comments]])</f>
        <v>3098</v>
      </c>
      <c r="M17" t="s">
        <v>51</v>
      </c>
      <c r="N17" t="s">
        <v>397</v>
      </c>
      <c r="O17" s="67">
        <v>7.7533348349475686E-2</v>
      </c>
      <c r="P17" t="s">
        <v>394</v>
      </c>
      <c r="Q17" t="s">
        <v>51</v>
      </c>
    </row>
    <row r="18" spans="1:17" x14ac:dyDescent="0.3">
      <c r="A18" t="s">
        <v>165</v>
      </c>
      <c r="B18" t="s">
        <v>30</v>
      </c>
      <c r="C18" s="48">
        <v>45457</v>
      </c>
      <c r="D18" t="s">
        <v>39</v>
      </c>
      <c r="E18" t="s">
        <v>68</v>
      </c>
      <c r="F18">
        <v>498</v>
      </c>
      <c r="G18">
        <v>38</v>
      </c>
      <c r="H18">
        <v>42</v>
      </c>
      <c r="I18">
        <v>4482</v>
      </c>
      <c r="J18">
        <v>3647</v>
      </c>
      <c r="K18">
        <v>32</v>
      </c>
      <c r="L18">
        <f>SUM(Table2_1[[#This Row],[Likes]:[Comments]])</f>
        <v>578</v>
      </c>
      <c r="M18" t="s">
        <v>51</v>
      </c>
      <c r="N18" t="s">
        <v>18</v>
      </c>
      <c r="O18" s="67">
        <v>0.12896028558679162</v>
      </c>
      <c r="P18" t="s">
        <v>394</v>
      </c>
      <c r="Q18" t="s">
        <v>51</v>
      </c>
    </row>
    <row r="19" spans="1:17" x14ac:dyDescent="0.3">
      <c r="A19" t="s">
        <v>183</v>
      </c>
      <c r="B19" t="s">
        <v>30</v>
      </c>
      <c r="C19" s="48">
        <v>45457</v>
      </c>
      <c r="D19" t="s">
        <v>31</v>
      </c>
      <c r="E19" t="s">
        <v>32</v>
      </c>
      <c r="F19">
        <v>4363</v>
      </c>
      <c r="G19">
        <v>649</v>
      </c>
      <c r="H19">
        <v>140</v>
      </c>
      <c r="I19">
        <v>21815</v>
      </c>
      <c r="J19">
        <v>21481</v>
      </c>
      <c r="K19">
        <v>157</v>
      </c>
      <c r="L19">
        <f>SUM(Table2_1[[#This Row],[Likes]:[Comments]])</f>
        <v>5152</v>
      </c>
      <c r="M19" t="s">
        <v>33</v>
      </c>
      <c r="N19" t="s">
        <v>18</v>
      </c>
      <c r="O19" s="67">
        <v>0.23616777446710979</v>
      </c>
      <c r="P19" t="s">
        <v>394</v>
      </c>
      <c r="Q19" t="s">
        <v>33</v>
      </c>
    </row>
    <row r="20" spans="1:17" x14ac:dyDescent="0.3">
      <c r="A20" t="s">
        <v>211</v>
      </c>
      <c r="B20" t="s">
        <v>14</v>
      </c>
      <c r="C20" s="48">
        <v>45459</v>
      </c>
      <c r="D20" t="s">
        <v>59</v>
      </c>
      <c r="E20" t="s">
        <v>99</v>
      </c>
      <c r="F20">
        <v>1702</v>
      </c>
      <c r="G20">
        <v>750</v>
      </c>
      <c r="H20">
        <v>179</v>
      </c>
      <c r="I20">
        <v>34040</v>
      </c>
      <c r="J20">
        <v>33174</v>
      </c>
      <c r="K20">
        <v>76</v>
      </c>
      <c r="L20">
        <f>SUM(Table2_1[[#This Row],[Likes]:[Comments]])</f>
        <v>2631</v>
      </c>
      <c r="M20" t="s">
        <v>33</v>
      </c>
      <c r="N20" t="s">
        <v>18</v>
      </c>
      <c r="O20" s="67">
        <v>7.7291421856639245E-2</v>
      </c>
      <c r="P20" t="s">
        <v>394</v>
      </c>
      <c r="Q20" t="s">
        <v>33</v>
      </c>
    </row>
    <row r="21" spans="1:17" x14ac:dyDescent="0.3">
      <c r="A21" t="s">
        <v>111</v>
      </c>
      <c r="B21" t="s">
        <v>38</v>
      </c>
      <c r="C21" s="48">
        <v>45460</v>
      </c>
      <c r="D21" t="s">
        <v>44</v>
      </c>
      <c r="E21" t="s">
        <v>49</v>
      </c>
      <c r="F21">
        <v>1226</v>
      </c>
      <c r="G21">
        <v>119</v>
      </c>
      <c r="H21">
        <v>7</v>
      </c>
      <c r="I21">
        <v>14712</v>
      </c>
      <c r="J21">
        <v>14049</v>
      </c>
      <c r="K21">
        <v>123</v>
      </c>
      <c r="L21">
        <f>SUM(Table2_1[[#This Row],[Likes]:[Comments]])</f>
        <v>1352</v>
      </c>
      <c r="M21" t="s">
        <v>33</v>
      </c>
      <c r="N21" t="s">
        <v>34</v>
      </c>
      <c r="O21" s="67">
        <v>9.1897770527460579E-2</v>
      </c>
      <c r="P21" t="s">
        <v>394</v>
      </c>
      <c r="Q21" t="s">
        <v>33</v>
      </c>
    </row>
    <row r="22" spans="1:17" x14ac:dyDescent="0.3">
      <c r="A22" t="s">
        <v>135</v>
      </c>
      <c r="B22" t="s">
        <v>14</v>
      </c>
      <c r="C22" s="48">
        <v>45460</v>
      </c>
      <c r="D22" t="s">
        <v>44</v>
      </c>
      <c r="E22" t="s">
        <v>92</v>
      </c>
      <c r="F22">
        <v>954</v>
      </c>
      <c r="G22">
        <v>324</v>
      </c>
      <c r="H22">
        <v>288</v>
      </c>
      <c r="I22">
        <v>19080</v>
      </c>
      <c r="J22">
        <v>18859</v>
      </c>
      <c r="K22">
        <v>21</v>
      </c>
      <c r="L22">
        <f>SUM(Table2_1[[#This Row],[Likes]:[Comments]])</f>
        <v>1566</v>
      </c>
      <c r="M22" t="s">
        <v>51</v>
      </c>
      <c r="N22" t="s">
        <v>34</v>
      </c>
      <c r="O22" s="67">
        <v>8.2075471698113203E-2</v>
      </c>
      <c r="P22" t="s">
        <v>394</v>
      </c>
      <c r="Q22" t="s">
        <v>51</v>
      </c>
    </row>
    <row r="23" spans="1:17" x14ac:dyDescent="0.3">
      <c r="A23" t="s">
        <v>362</v>
      </c>
      <c r="B23" t="s">
        <v>38</v>
      </c>
      <c r="C23" s="48">
        <v>45462</v>
      </c>
      <c r="D23" t="s">
        <v>39</v>
      </c>
      <c r="E23" t="s">
        <v>40</v>
      </c>
      <c r="F23">
        <v>4731</v>
      </c>
      <c r="G23">
        <v>173</v>
      </c>
      <c r="H23">
        <v>276</v>
      </c>
      <c r="I23">
        <v>28386</v>
      </c>
      <c r="J23">
        <v>28185</v>
      </c>
      <c r="K23">
        <v>89</v>
      </c>
      <c r="L23">
        <f>SUM(Table2_1[[#This Row],[Likes]:[Comments]])</f>
        <v>5180</v>
      </c>
      <c r="M23" t="s">
        <v>33</v>
      </c>
      <c r="N23" t="s">
        <v>28</v>
      </c>
      <c r="O23" s="67">
        <v>0.18248432325794406</v>
      </c>
      <c r="P23" t="s">
        <v>394</v>
      </c>
      <c r="Q23" t="s">
        <v>33</v>
      </c>
    </row>
    <row r="24" spans="1:17" x14ac:dyDescent="0.3">
      <c r="A24" t="s">
        <v>238</v>
      </c>
      <c r="B24" t="s">
        <v>38</v>
      </c>
      <c r="C24" s="48">
        <v>45463</v>
      </c>
      <c r="D24" t="s">
        <v>59</v>
      </c>
      <c r="E24" t="s">
        <v>60</v>
      </c>
      <c r="F24">
        <v>3798</v>
      </c>
      <c r="G24">
        <v>31</v>
      </c>
      <c r="H24">
        <v>279</v>
      </c>
      <c r="I24">
        <v>75960</v>
      </c>
      <c r="J24">
        <v>75813</v>
      </c>
      <c r="K24">
        <v>266</v>
      </c>
      <c r="L24">
        <f>SUM(Table2_1[[#This Row],[Likes]:[Comments]])</f>
        <v>4108</v>
      </c>
      <c r="M24" t="s">
        <v>27</v>
      </c>
      <c r="N24" t="s">
        <v>18</v>
      </c>
      <c r="O24" s="67">
        <v>5.4081095313322801E-2</v>
      </c>
      <c r="P24" t="s">
        <v>394</v>
      </c>
      <c r="Q24" t="s">
        <v>27</v>
      </c>
    </row>
    <row r="25" spans="1:17" x14ac:dyDescent="0.3">
      <c r="A25" t="s">
        <v>289</v>
      </c>
      <c r="B25" t="s">
        <v>14</v>
      </c>
      <c r="C25" s="48">
        <v>45463</v>
      </c>
      <c r="D25" t="s">
        <v>39</v>
      </c>
      <c r="E25" t="s">
        <v>42</v>
      </c>
      <c r="F25">
        <v>4672</v>
      </c>
      <c r="G25">
        <v>325</v>
      </c>
      <c r="H25">
        <v>32</v>
      </c>
      <c r="I25">
        <v>88768</v>
      </c>
      <c r="J25">
        <v>87833</v>
      </c>
      <c r="K25">
        <v>118</v>
      </c>
      <c r="L25">
        <f>SUM(Table2_1[[#This Row],[Likes]:[Comments]])</f>
        <v>5029</v>
      </c>
      <c r="M25" t="s">
        <v>33</v>
      </c>
      <c r="N25" t="s">
        <v>397</v>
      </c>
      <c r="O25" s="67">
        <v>5.6653298485940883E-2</v>
      </c>
      <c r="P25" t="s">
        <v>394</v>
      </c>
      <c r="Q25" t="s">
        <v>33</v>
      </c>
    </row>
    <row r="26" spans="1:17" x14ac:dyDescent="0.3">
      <c r="A26" t="s">
        <v>167</v>
      </c>
      <c r="B26" t="s">
        <v>25</v>
      </c>
      <c r="C26" s="48">
        <v>45464</v>
      </c>
      <c r="D26" t="s">
        <v>44</v>
      </c>
      <c r="E26" t="s">
        <v>45</v>
      </c>
      <c r="F26">
        <v>4832</v>
      </c>
      <c r="G26">
        <v>893</v>
      </c>
      <c r="H26">
        <v>10</v>
      </c>
      <c r="I26">
        <v>91808</v>
      </c>
      <c r="J26">
        <v>91296</v>
      </c>
      <c r="K26">
        <v>182</v>
      </c>
      <c r="L26">
        <f>SUM(Table2_1[[#This Row],[Likes]:[Comments]])</f>
        <v>5735</v>
      </c>
      <c r="M26" t="s">
        <v>27</v>
      </c>
      <c r="N26" t="s">
        <v>397</v>
      </c>
      <c r="O26" s="67">
        <v>6.2467323109097243E-2</v>
      </c>
      <c r="P26" t="s">
        <v>394</v>
      </c>
      <c r="Q26" t="s">
        <v>27</v>
      </c>
    </row>
    <row r="27" spans="1:17" x14ac:dyDescent="0.3">
      <c r="A27" t="s">
        <v>115</v>
      </c>
      <c r="B27" t="s">
        <v>30</v>
      </c>
      <c r="C27" s="48">
        <v>45465</v>
      </c>
      <c r="D27" t="s">
        <v>20</v>
      </c>
      <c r="E27" t="s">
        <v>82</v>
      </c>
      <c r="F27">
        <v>2180</v>
      </c>
      <c r="G27">
        <v>263</v>
      </c>
      <c r="H27">
        <v>387</v>
      </c>
      <c r="I27">
        <v>30520</v>
      </c>
      <c r="J27">
        <v>30059</v>
      </c>
      <c r="K27">
        <v>174</v>
      </c>
      <c r="L27">
        <f>SUM(Table2_1[[#This Row],[Likes]:[Comments]])</f>
        <v>2830</v>
      </c>
      <c r="M27" t="s">
        <v>33</v>
      </c>
      <c r="N27" t="s">
        <v>397</v>
      </c>
      <c r="O27" s="67">
        <v>9.2726081258191345E-2</v>
      </c>
      <c r="P27" t="s">
        <v>394</v>
      </c>
      <c r="Q27" t="s">
        <v>33</v>
      </c>
    </row>
    <row r="28" spans="1:17" x14ac:dyDescent="0.3">
      <c r="A28" t="s">
        <v>236</v>
      </c>
      <c r="B28" t="s">
        <v>38</v>
      </c>
      <c r="C28" s="48">
        <v>45465</v>
      </c>
      <c r="D28" t="s">
        <v>20</v>
      </c>
      <c r="E28" t="s">
        <v>47</v>
      </c>
      <c r="F28">
        <v>3828</v>
      </c>
      <c r="G28">
        <v>148</v>
      </c>
      <c r="H28">
        <v>253</v>
      </c>
      <c r="I28">
        <v>30624</v>
      </c>
      <c r="J28">
        <v>30229</v>
      </c>
      <c r="K28">
        <v>235</v>
      </c>
      <c r="L28">
        <f>SUM(Table2_1[[#This Row],[Likes]:[Comments]])</f>
        <v>4229</v>
      </c>
      <c r="M28" t="s">
        <v>33</v>
      </c>
      <c r="N28" t="s">
        <v>397</v>
      </c>
      <c r="O28" s="67">
        <v>0.13809430512016718</v>
      </c>
      <c r="P28" t="s">
        <v>394</v>
      </c>
      <c r="Q28" t="s">
        <v>33</v>
      </c>
    </row>
    <row r="29" spans="1:17" x14ac:dyDescent="0.3">
      <c r="A29" t="s">
        <v>316</v>
      </c>
      <c r="B29" t="s">
        <v>38</v>
      </c>
      <c r="C29" s="48">
        <v>45465</v>
      </c>
      <c r="D29" t="s">
        <v>15</v>
      </c>
      <c r="E29" t="s">
        <v>53</v>
      </c>
      <c r="F29">
        <v>3813</v>
      </c>
      <c r="G29">
        <v>935</v>
      </c>
      <c r="H29">
        <v>274</v>
      </c>
      <c r="I29">
        <v>68634</v>
      </c>
      <c r="J29">
        <v>68488</v>
      </c>
      <c r="K29">
        <v>251</v>
      </c>
      <c r="L29">
        <f>SUM(Table2_1[[#This Row],[Likes]:[Comments]])</f>
        <v>5022</v>
      </c>
      <c r="M29" t="s">
        <v>51</v>
      </c>
      <c r="N29" t="s">
        <v>397</v>
      </c>
      <c r="O29" s="67">
        <v>7.3170731707317069E-2</v>
      </c>
      <c r="P29" t="s">
        <v>394</v>
      </c>
      <c r="Q29" t="s">
        <v>51</v>
      </c>
    </row>
    <row r="30" spans="1:17" x14ac:dyDescent="0.3">
      <c r="A30" t="s">
        <v>65</v>
      </c>
      <c r="B30" t="s">
        <v>30</v>
      </c>
      <c r="C30" s="48">
        <v>45466</v>
      </c>
      <c r="D30" t="s">
        <v>59</v>
      </c>
      <c r="E30" t="s">
        <v>66</v>
      </c>
      <c r="F30">
        <v>1071</v>
      </c>
      <c r="G30">
        <v>519</v>
      </c>
      <c r="H30">
        <v>22</v>
      </c>
      <c r="I30">
        <v>16065</v>
      </c>
      <c r="J30">
        <v>15865</v>
      </c>
      <c r="K30">
        <v>103</v>
      </c>
      <c r="L30">
        <f>SUM(Table2_1[[#This Row],[Likes]:[Comments]])</f>
        <v>1612</v>
      </c>
      <c r="M30" t="s">
        <v>27</v>
      </c>
      <c r="N30" t="s">
        <v>34</v>
      </c>
      <c r="O30" s="67">
        <v>0.10034235916588857</v>
      </c>
      <c r="P30" t="s">
        <v>394</v>
      </c>
      <c r="Q30" t="s">
        <v>27</v>
      </c>
    </row>
    <row r="31" spans="1:17" x14ac:dyDescent="0.3">
      <c r="A31" t="s">
        <v>41</v>
      </c>
      <c r="B31" t="s">
        <v>14</v>
      </c>
      <c r="C31" s="48">
        <v>45467</v>
      </c>
      <c r="D31" t="s">
        <v>39</v>
      </c>
      <c r="E31" t="s">
        <v>42</v>
      </c>
      <c r="F31">
        <v>3860</v>
      </c>
      <c r="G31">
        <v>201</v>
      </c>
      <c r="H31">
        <v>279</v>
      </c>
      <c r="I31">
        <v>61760</v>
      </c>
      <c r="J31">
        <v>61660</v>
      </c>
      <c r="K31">
        <v>235</v>
      </c>
      <c r="L31">
        <f>SUM(Table2_1[[#This Row],[Likes]:[Comments]])</f>
        <v>4340</v>
      </c>
      <c r="M31" t="s">
        <v>27</v>
      </c>
      <c r="N31" t="s">
        <v>23</v>
      </c>
      <c r="O31" s="67">
        <v>7.0272020725388601E-2</v>
      </c>
      <c r="P31" t="s">
        <v>394</v>
      </c>
      <c r="Q31" t="s">
        <v>27</v>
      </c>
    </row>
    <row r="32" spans="1:17" x14ac:dyDescent="0.3">
      <c r="A32" t="s">
        <v>269</v>
      </c>
      <c r="B32" t="s">
        <v>14</v>
      </c>
      <c r="C32" s="48">
        <v>45467</v>
      </c>
      <c r="D32" t="s">
        <v>20</v>
      </c>
      <c r="E32" t="s">
        <v>21</v>
      </c>
      <c r="F32">
        <v>941</v>
      </c>
      <c r="G32">
        <v>121</v>
      </c>
      <c r="H32">
        <v>458</v>
      </c>
      <c r="I32">
        <v>14115</v>
      </c>
      <c r="J32">
        <v>13838</v>
      </c>
      <c r="K32">
        <v>87</v>
      </c>
      <c r="L32">
        <f>SUM(Table2_1[[#This Row],[Likes]:[Comments]])</f>
        <v>1520</v>
      </c>
      <c r="M32" t="s">
        <v>33</v>
      </c>
      <c r="N32" t="s">
        <v>18</v>
      </c>
      <c r="O32" s="67">
        <v>0.10768685795253277</v>
      </c>
      <c r="P32" t="s">
        <v>394</v>
      </c>
      <c r="Q32" t="s">
        <v>33</v>
      </c>
    </row>
    <row r="33" spans="1:17" x14ac:dyDescent="0.3">
      <c r="A33" t="s">
        <v>271</v>
      </c>
      <c r="B33" t="s">
        <v>25</v>
      </c>
      <c r="C33" s="48">
        <v>45467</v>
      </c>
      <c r="D33" t="s">
        <v>59</v>
      </c>
      <c r="E33" t="s">
        <v>143</v>
      </c>
      <c r="F33">
        <v>2949</v>
      </c>
      <c r="G33">
        <v>476</v>
      </c>
      <c r="H33">
        <v>403</v>
      </c>
      <c r="I33">
        <v>44235</v>
      </c>
      <c r="J33">
        <v>43705</v>
      </c>
      <c r="K33">
        <v>135</v>
      </c>
      <c r="L33">
        <f>SUM(Table2_1[[#This Row],[Likes]:[Comments]])</f>
        <v>3828</v>
      </c>
      <c r="M33" t="s">
        <v>27</v>
      </c>
      <c r="N33" t="s">
        <v>23</v>
      </c>
      <c r="O33" s="67">
        <v>8.6537809426924378E-2</v>
      </c>
      <c r="P33" t="s">
        <v>394</v>
      </c>
      <c r="Q33" t="s">
        <v>27</v>
      </c>
    </row>
    <row r="34" spans="1:17" x14ac:dyDescent="0.3">
      <c r="A34" t="s">
        <v>35</v>
      </c>
      <c r="B34" t="s">
        <v>25</v>
      </c>
      <c r="C34" s="48">
        <v>45469</v>
      </c>
      <c r="D34" t="s">
        <v>15</v>
      </c>
      <c r="E34" t="s">
        <v>26</v>
      </c>
      <c r="F34">
        <v>3557</v>
      </c>
      <c r="G34">
        <v>687</v>
      </c>
      <c r="H34">
        <v>424</v>
      </c>
      <c r="I34">
        <v>71140</v>
      </c>
      <c r="J34">
        <v>70701</v>
      </c>
      <c r="K34">
        <v>224</v>
      </c>
      <c r="L34">
        <f>SUM(Table2_1[[#This Row],[Likes]:[Comments]])</f>
        <v>4668</v>
      </c>
      <c r="M34" t="s">
        <v>36</v>
      </c>
      <c r="N34" t="s">
        <v>18</v>
      </c>
      <c r="O34" s="67">
        <v>6.5617093055946027E-2</v>
      </c>
      <c r="P34" t="s">
        <v>394</v>
      </c>
      <c r="Q34" t="s">
        <v>33</v>
      </c>
    </row>
    <row r="35" spans="1:17" x14ac:dyDescent="0.3">
      <c r="A35" t="s">
        <v>35</v>
      </c>
      <c r="B35" t="s">
        <v>25</v>
      </c>
      <c r="C35" s="48">
        <v>45469</v>
      </c>
      <c r="D35" t="s">
        <v>15</v>
      </c>
      <c r="E35" t="s">
        <v>26</v>
      </c>
      <c r="F35">
        <v>3557</v>
      </c>
      <c r="G35">
        <v>687</v>
      </c>
      <c r="H35">
        <v>424</v>
      </c>
      <c r="I35">
        <v>71140</v>
      </c>
      <c r="J35">
        <v>70701</v>
      </c>
      <c r="K35">
        <v>224</v>
      </c>
      <c r="L35">
        <f>SUM(Table2_1[[#This Row],[Likes]:[Comments]])</f>
        <v>4668</v>
      </c>
      <c r="M35" t="s">
        <v>36</v>
      </c>
      <c r="N35" t="s">
        <v>18</v>
      </c>
      <c r="O35" s="67">
        <v>6.5617093055946027E-2</v>
      </c>
      <c r="P35" t="s">
        <v>395</v>
      </c>
      <c r="Q35" t="s">
        <v>27</v>
      </c>
    </row>
    <row r="36" spans="1:17" x14ac:dyDescent="0.3">
      <c r="A36" t="s">
        <v>292</v>
      </c>
      <c r="B36" t="s">
        <v>30</v>
      </c>
      <c r="C36" s="48">
        <v>45474</v>
      </c>
      <c r="D36" t="s">
        <v>31</v>
      </c>
      <c r="E36" t="s">
        <v>32</v>
      </c>
      <c r="F36">
        <v>4808</v>
      </c>
      <c r="G36">
        <v>772</v>
      </c>
      <c r="H36">
        <v>320</v>
      </c>
      <c r="I36">
        <v>72120</v>
      </c>
      <c r="J36">
        <v>71696</v>
      </c>
      <c r="K36">
        <v>195</v>
      </c>
      <c r="L36">
        <f>SUM(Table2_1[[#This Row],[Likes]:[Comments]])</f>
        <v>5900</v>
      </c>
      <c r="M36" t="s">
        <v>33</v>
      </c>
      <c r="N36" t="s">
        <v>18</v>
      </c>
      <c r="O36" s="67">
        <v>8.1808097615085965E-2</v>
      </c>
      <c r="P36" t="s">
        <v>394</v>
      </c>
      <c r="Q36" t="s">
        <v>33</v>
      </c>
    </row>
    <row r="37" spans="1:17" x14ac:dyDescent="0.3">
      <c r="A37" t="s">
        <v>159</v>
      </c>
      <c r="B37" t="s">
        <v>25</v>
      </c>
      <c r="C37" s="48">
        <v>45475</v>
      </c>
      <c r="D37" t="s">
        <v>39</v>
      </c>
      <c r="E37" t="s">
        <v>55</v>
      </c>
      <c r="F37">
        <v>4171</v>
      </c>
      <c r="G37">
        <v>548</v>
      </c>
      <c r="H37">
        <v>86</v>
      </c>
      <c r="I37">
        <v>66736</v>
      </c>
      <c r="J37">
        <v>66634</v>
      </c>
      <c r="K37">
        <v>173</v>
      </c>
      <c r="L37">
        <f>SUM(Table2_1[[#This Row],[Likes]:[Comments]])</f>
        <v>4805</v>
      </c>
      <c r="M37" t="s">
        <v>51</v>
      </c>
      <c r="N37" t="s">
        <v>28</v>
      </c>
      <c r="O37" s="67">
        <v>7.2000119875329657E-2</v>
      </c>
      <c r="P37" t="s">
        <v>394</v>
      </c>
      <c r="Q37" t="s">
        <v>51</v>
      </c>
    </row>
    <row r="38" spans="1:17" x14ac:dyDescent="0.3">
      <c r="A38" t="s">
        <v>104</v>
      </c>
      <c r="B38" t="s">
        <v>25</v>
      </c>
      <c r="C38" s="48">
        <v>45476</v>
      </c>
      <c r="D38" t="s">
        <v>31</v>
      </c>
      <c r="E38" t="s">
        <v>105</v>
      </c>
      <c r="F38">
        <v>2754</v>
      </c>
      <c r="G38">
        <v>130</v>
      </c>
      <c r="H38">
        <v>90</v>
      </c>
      <c r="I38">
        <v>22032</v>
      </c>
      <c r="J38">
        <v>21288</v>
      </c>
      <c r="K38">
        <v>112</v>
      </c>
      <c r="L38">
        <f>SUM(Table2_1[[#This Row],[Likes]:[Comments]])</f>
        <v>2974</v>
      </c>
      <c r="M38" t="s">
        <v>27</v>
      </c>
      <c r="N38" t="s">
        <v>28</v>
      </c>
      <c r="O38" s="67">
        <v>0.13498547567175018</v>
      </c>
      <c r="P38" t="s">
        <v>394</v>
      </c>
      <c r="Q38" t="s">
        <v>27</v>
      </c>
    </row>
    <row r="39" spans="1:17" x14ac:dyDescent="0.3">
      <c r="A39" t="s">
        <v>293</v>
      </c>
      <c r="B39" t="s">
        <v>30</v>
      </c>
      <c r="C39" s="48">
        <v>45476</v>
      </c>
      <c r="D39" t="s">
        <v>39</v>
      </c>
      <c r="E39" t="s">
        <v>68</v>
      </c>
      <c r="F39">
        <v>4799</v>
      </c>
      <c r="G39">
        <v>694</v>
      </c>
      <c r="H39">
        <v>289</v>
      </c>
      <c r="I39">
        <v>43191</v>
      </c>
      <c r="J39">
        <v>42228</v>
      </c>
      <c r="K39">
        <v>118</v>
      </c>
      <c r="L39">
        <f>SUM(Table2_1[[#This Row],[Likes]:[Comments]])</f>
        <v>5782</v>
      </c>
      <c r="M39" t="s">
        <v>27</v>
      </c>
      <c r="N39" t="s">
        <v>397</v>
      </c>
      <c r="O39" s="67">
        <v>0.13387048227640017</v>
      </c>
      <c r="P39" t="s">
        <v>394</v>
      </c>
      <c r="Q39" t="s">
        <v>27</v>
      </c>
    </row>
    <row r="40" spans="1:17" x14ac:dyDescent="0.3">
      <c r="A40" t="s">
        <v>148</v>
      </c>
      <c r="B40" t="s">
        <v>38</v>
      </c>
      <c r="C40" s="48">
        <v>45480</v>
      </c>
      <c r="D40" t="s">
        <v>31</v>
      </c>
      <c r="E40" t="s">
        <v>57</v>
      </c>
      <c r="F40">
        <v>302</v>
      </c>
      <c r="G40">
        <v>47</v>
      </c>
      <c r="H40">
        <v>430</v>
      </c>
      <c r="I40">
        <v>5738</v>
      </c>
      <c r="J40">
        <v>4890</v>
      </c>
      <c r="K40">
        <v>25</v>
      </c>
      <c r="L40">
        <f>SUM(Table2_1[[#This Row],[Likes]:[Comments]])</f>
        <v>779</v>
      </c>
      <c r="M40" t="s">
        <v>27</v>
      </c>
      <c r="N40" t="s">
        <v>34</v>
      </c>
      <c r="O40" s="67">
        <v>0.13576158940397351</v>
      </c>
      <c r="P40" t="s">
        <v>394</v>
      </c>
      <c r="Q40" t="s">
        <v>27</v>
      </c>
    </row>
    <row r="41" spans="1:17" x14ac:dyDescent="0.3">
      <c r="A41" t="s">
        <v>307</v>
      </c>
      <c r="B41" t="s">
        <v>38</v>
      </c>
      <c r="C41" s="48">
        <v>45480</v>
      </c>
      <c r="D41" t="s">
        <v>15</v>
      </c>
      <c r="E41" t="s">
        <v>53</v>
      </c>
      <c r="F41">
        <v>4767</v>
      </c>
      <c r="G41">
        <v>190</v>
      </c>
      <c r="H41">
        <v>340</v>
      </c>
      <c r="I41">
        <v>28602</v>
      </c>
      <c r="J41">
        <v>28044</v>
      </c>
      <c r="K41">
        <v>210</v>
      </c>
      <c r="L41">
        <f>SUM(Table2_1[[#This Row],[Likes]:[Comments]])</f>
        <v>5297</v>
      </c>
      <c r="M41" t="s">
        <v>33</v>
      </c>
      <c r="N41" t="s">
        <v>28</v>
      </c>
      <c r="O41" s="67">
        <v>0.18519683938186141</v>
      </c>
      <c r="P41" t="s">
        <v>394</v>
      </c>
      <c r="Q41" t="s">
        <v>33</v>
      </c>
    </row>
    <row r="42" spans="1:17" x14ac:dyDescent="0.3">
      <c r="A42" t="s">
        <v>239</v>
      </c>
      <c r="B42" t="s">
        <v>30</v>
      </c>
      <c r="C42" s="48">
        <v>45483</v>
      </c>
      <c r="D42" t="s">
        <v>39</v>
      </c>
      <c r="E42" t="s">
        <v>68</v>
      </c>
      <c r="F42">
        <v>3099</v>
      </c>
      <c r="G42">
        <v>694</v>
      </c>
      <c r="H42">
        <v>171</v>
      </c>
      <c r="I42">
        <v>43386</v>
      </c>
      <c r="J42">
        <v>42921</v>
      </c>
      <c r="K42">
        <v>52</v>
      </c>
      <c r="L42">
        <f>SUM(Table2_1[[#This Row],[Likes]:[Comments]])</f>
        <v>3964</v>
      </c>
      <c r="M42" t="s">
        <v>27</v>
      </c>
      <c r="N42" t="s">
        <v>28</v>
      </c>
      <c r="O42" s="67">
        <v>9.1365878393951966E-2</v>
      </c>
      <c r="P42" t="s">
        <v>394</v>
      </c>
      <c r="Q42" t="s">
        <v>27</v>
      </c>
    </row>
    <row r="43" spans="1:17" x14ac:dyDescent="0.3">
      <c r="A43" t="s">
        <v>196</v>
      </c>
      <c r="B43" t="s">
        <v>30</v>
      </c>
      <c r="C43" s="48">
        <v>45484</v>
      </c>
      <c r="D43" t="s">
        <v>20</v>
      </c>
      <c r="E43" t="s">
        <v>82</v>
      </c>
      <c r="F43">
        <v>3134</v>
      </c>
      <c r="G43">
        <v>888</v>
      </c>
      <c r="H43">
        <v>444</v>
      </c>
      <c r="I43">
        <v>21938</v>
      </c>
      <c r="J43">
        <v>21337</v>
      </c>
      <c r="K43">
        <v>130</v>
      </c>
      <c r="L43">
        <f>SUM(Table2_1[[#This Row],[Likes]:[Comments]])</f>
        <v>4466</v>
      </c>
      <c r="M43" t="s">
        <v>33</v>
      </c>
      <c r="N43" t="s">
        <v>34</v>
      </c>
      <c r="O43" s="67">
        <v>0.20357370772176134</v>
      </c>
      <c r="P43" t="s">
        <v>394</v>
      </c>
      <c r="Q43" t="s">
        <v>33</v>
      </c>
    </row>
    <row r="44" spans="1:17" x14ac:dyDescent="0.3">
      <c r="A44" t="s">
        <v>43</v>
      </c>
      <c r="B44" t="s">
        <v>25</v>
      </c>
      <c r="C44" s="48">
        <v>45486</v>
      </c>
      <c r="D44" t="s">
        <v>44</v>
      </c>
      <c r="E44" t="s">
        <v>45</v>
      </c>
      <c r="F44">
        <v>3929</v>
      </c>
      <c r="G44">
        <v>262</v>
      </c>
      <c r="H44">
        <v>278</v>
      </c>
      <c r="I44">
        <v>43219</v>
      </c>
      <c r="J44">
        <v>42841</v>
      </c>
      <c r="K44">
        <v>39</v>
      </c>
      <c r="L44">
        <f>SUM(Table2_1[[#This Row],[Likes]:[Comments]])</f>
        <v>4469</v>
      </c>
      <c r="M44" t="s">
        <v>33</v>
      </c>
      <c r="N44" t="s">
        <v>34</v>
      </c>
      <c r="O44" s="67">
        <v>0.10340359564080613</v>
      </c>
      <c r="P44" t="s">
        <v>394</v>
      </c>
      <c r="Q44" t="s">
        <v>33</v>
      </c>
    </row>
    <row r="45" spans="1:17" x14ac:dyDescent="0.3">
      <c r="A45" t="s">
        <v>200</v>
      </c>
      <c r="B45" t="s">
        <v>38</v>
      </c>
      <c r="C45" s="48">
        <v>45488</v>
      </c>
      <c r="D45" t="s">
        <v>44</v>
      </c>
      <c r="E45" t="s">
        <v>49</v>
      </c>
      <c r="F45">
        <v>2291</v>
      </c>
      <c r="G45">
        <v>78</v>
      </c>
      <c r="H45">
        <v>485</v>
      </c>
      <c r="I45">
        <v>18328</v>
      </c>
      <c r="J45">
        <v>18101</v>
      </c>
      <c r="K45">
        <v>10</v>
      </c>
      <c r="L45">
        <f>SUM(Table2_1[[#This Row],[Likes]:[Comments]])</f>
        <v>2854</v>
      </c>
      <c r="M45" t="s">
        <v>201</v>
      </c>
      <c r="N45" t="s">
        <v>23</v>
      </c>
      <c r="O45" s="67">
        <v>0.15571802706241816</v>
      </c>
      <c r="P45" t="s">
        <v>394</v>
      </c>
      <c r="Q45" t="s">
        <v>33</v>
      </c>
    </row>
    <row r="46" spans="1:17" x14ac:dyDescent="0.3">
      <c r="A46" t="s">
        <v>200</v>
      </c>
      <c r="B46" t="s">
        <v>38</v>
      </c>
      <c r="C46" s="48">
        <v>45488</v>
      </c>
      <c r="D46" t="s">
        <v>44</v>
      </c>
      <c r="E46" t="s">
        <v>49</v>
      </c>
      <c r="F46">
        <v>2291</v>
      </c>
      <c r="G46">
        <v>78</v>
      </c>
      <c r="H46">
        <v>485</v>
      </c>
      <c r="I46">
        <v>18328</v>
      </c>
      <c r="J46">
        <v>18101</v>
      </c>
      <c r="K46">
        <v>10</v>
      </c>
      <c r="L46">
        <f>SUM(Table2_1[[#This Row],[Likes]:[Comments]])</f>
        <v>2854</v>
      </c>
      <c r="M46" t="s">
        <v>201</v>
      </c>
      <c r="N46" t="s">
        <v>23</v>
      </c>
      <c r="O46" s="67">
        <v>0.15571802706241816</v>
      </c>
      <c r="P46" t="s">
        <v>395</v>
      </c>
      <c r="Q46" t="s">
        <v>388</v>
      </c>
    </row>
    <row r="47" spans="1:17" x14ac:dyDescent="0.3">
      <c r="A47" t="s">
        <v>241</v>
      </c>
      <c r="B47" t="s">
        <v>38</v>
      </c>
      <c r="C47" s="48">
        <v>45488</v>
      </c>
      <c r="D47" t="s">
        <v>39</v>
      </c>
      <c r="E47" t="s">
        <v>40</v>
      </c>
      <c r="F47">
        <v>3796</v>
      </c>
      <c r="G47">
        <v>667</v>
      </c>
      <c r="H47">
        <v>395</v>
      </c>
      <c r="I47">
        <v>64532</v>
      </c>
      <c r="J47">
        <v>63550</v>
      </c>
      <c r="K47">
        <v>292</v>
      </c>
      <c r="L47">
        <f>SUM(Table2_1[[#This Row],[Likes]:[Comments]])</f>
        <v>4858</v>
      </c>
      <c r="M47" t="s">
        <v>27</v>
      </c>
      <c r="N47" t="s">
        <v>397</v>
      </c>
      <c r="O47" s="67">
        <v>7.5280481001673588E-2</v>
      </c>
      <c r="P47" t="s">
        <v>394</v>
      </c>
      <c r="Q47" t="s">
        <v>27</v>
      </c>
    </row>
    <row r="48" spans="1:17" x14ac:dyDescent="0.3">
      <c r="A48" t="s">
        <v>294</v>
      </c>
      <c r="B48" t="s">
        <v>38</v>
      </c>
      <c r="C48" s="48">
        <v>45488</v>
      </c>
      <c r="D48" t="s">
        <v>15</v>
      </c>
      <c r="E48" t="s">
        <v>53</v>
      </c>
      <c r="F48">
        <v>3663</v>
      </c>
      <c r="G48">
        <v>17</v>
      </c>
      <c r="H48">
        <v>295</v>
      </c>
      <c r="I48">
        <v>51282</v>
      </c>
      <c r="J48">
        <v>50567</v>
      </c>
      <c r="K48">
        <v>84</v>
      </c>
      <c r="L48">
        <f>SUM(Table2_1[[#This Row],[Likes]:[Comments]])</f>
        <v>3975</v>
      </c>
      <c r="M48" t="s">
        <v>33</v>
      </c>
      <c r="N48" t="s">
        <v>28</v>
      </c>
      <c r="O48" s="67">
        <v>7.7512577512577507E-2</v>
      </c>
      <c r="P48" t="s">
        <v>394</v>
      </c>
      <c r="Q48" t="s">
        <v>33</v>
      </c>
    </row>
    <row r="49" spans="1:17" x14ac:dyDescent="0.3">
      <c r="A49" t="s">
        <v>303</v>
      </c>
      <c r="B49" t="s">
        <v>14</v>
      </c>
      <c r="C49" s="48">
        <v>45489</v>
      </c>
      <c r="D49" t="s">
        <v>20</v>
      </c>
      <c r="E49" t="s">
        <v>21</v>
      </c>
      <c r="F49">
        <v>4725</v>
      </c>
      <c r="G49">
        <v>400</v>
      </c>
      <c r="H49">
        <v>362</v>
      </c>
      <c r="I49">
        <v>75600</v>
      </c>
      <c r="J49">
        <v>74927</v>
      </c>
      <c r="K49">
        <v>43</v>
      </c>
      <c r="L49">
        <f>SUM(Table2_1[[#This Row],[Likes]:[Comments]])</f>
        <v>5487</v>
      </c>
      <c r="M49" t="s">
        <v>51</v>
      </c>
      <c r="N49" t="s">
        <v>34</v>
      </c>
      <c r="O49" s="67">
        <v>7.2579365079365077E-2</v>
      </c>
      <c r="P49" t="s">
        <v>394</v>
      </c>
      <c r="Q49" t="s">
        <v>51</v>
      </c>
    </row>
    <row r="50" spans="1:17" x14ac:dyDescent="0.3">
      <c r="A50" t="s">
        <v>274</v>
      </c>
      <c r="B50" t="s">
        <v>14</v>
      </c>
      <c r="C50" s="48">
        <v>45491</v>
      </c>
      <c r="D50" t="s">
        <v>39</v>
      </c>
      <c r="E50" t="s">
        <v>42</v>
      </c>
      <c r="F50">
        <v>2120</v>
      </c>
      <c r="G50">
        <v>38</v>
      </c>
      <c r="H50">
        <v>212</v>
      </c>
      <c r="I50">
        <v>12720</v>
      </c>
      <c r="J50">
        <v>12564</v>
      </c>
      <c r="K50">
        <v>21</v>
      </c>
      <c r="L50">
        <f>SUM(Table2_1[[#This Row],[Likes]:[Comments]])</f>
        <v>2370</v>
      </c>
      <c r="M50" t="s">
        <v>51</v>
      </c>
      <c r="N50" t="s">
        <v>34</v>
      </c>
      <c r="O50" s="67">
        <v>0.18632075471698112</v>
      </c>
      <c r="P50" t="s">
        <v>394</v>
      </c>
      <c r="Q50" t="s">
        <v>51</v>
      </c>
    </row>
    <row r="51" spans="1:17" x14ac:dyDescent="0.3">
      <c r="A51" t="s">
        <v>315</v>
      </c>
      <c r="B51" t="s">
        <v>14</v>
      </c>
      <c r="C51" s="48">
        <v>45491</v>
      </c>
      <c r="D51" t="s">
        <v>44</v>
      </c>
      <c r="E51" t="s">
        <v>92</v>
      </c>
      <c r="F51">
        <v>827</v>
      </c>
      <c r="G51">
        <v>77</v>
      </c>
      <c r="H51">
        <v>402</v>
      </c>
      <c r="I51">
        <v>14886</v>
      </c>
      <c r="J51">
        <v>14129</v>
      </c>
      <c r="K51">
        <v>254</v>
      </c>
      <c r="L51">
        <f>SUM(Table2_1[[#This Row],[Likes]:[Comments]])</f>
        <v>1306</v>
      </c>
      <c r="M51" t="s">
        <v>33</v>
      </c>
      <c r="N51" t="s">
        <v>23</v>
      </c>
      <c r="O51" s="67">
        <v>8.7733440816874911E-2</v>
      </c>
      <c r="P51" t="s">
        <v>394</v>
      </c>
      <c r="Q51" t="s">
        <v>33</v>
      </c>
    </row>
    <row r="52" spans="1:17" x14ac:dyDescent="0.3">
      <c r="A52" t="s">
        <v>353</v>
      </c>
      <c r="B52" t="s">
        <v>25</v>
      </c>
      <c r="C52" s="48">
        <v>45491</v>
      </c>
      <c r="D52" t="s">
        <v>20</v>
      </c>
      <c r="E52" t="s">
        <v>77</v>
      </c>
      <c r="F52">
        <v>4021</v>
      </c>
      <c r="G52">
        <v>794</v>
      </c>
      <c r="H52">
        <v>77</v>
      </c>
      <c r="I52">
        <v>36189</v>
      </c>
      <c r="J52">
        <v>35505</v>
      </c>
      <c r="K52">
        <v>174</v>
      </c>
      <c r="L52">
        <f>SUM(Table2_1[[#This Row],[Likes]:[Comments]])</f>
        <v>4892</v>
      </c>
      <c r="M52" t="s">
        <v>33</v>
      </c>
      <c r="N52" t="s">
        <v>397</v>
      </c>
      <c r="O52" s="67">
        <v>0.13517919809886983</v>
      </c>
      <c r="P52" t="s">
        <v>394</v>
      </c>
      <c r="Q52" t="s">
        <v>33</v>
      </c>
    </row>
    <row r="53" spans="1:17" x14ac:dyDescent="0.3">
      <c r="A53" t="s">
        <v>52</v>
      </c>
      <c r="B53" t="s">
        <v>38</v>
      </c>
      <c r="C53" s="48">
        <v>45494</v>
      </c>
      <c r="D53" t="s">
        <v>15</v>
      </c>
      <c r="E53" t="s">
        <v>53</v>
      </c>
      <c r="F53">
        <v>1946</v>
      </c>
      <c r="G53">
        <v>686</v>
      </c>
      <c r="H53">
        <v>377</v>
      </c>
      <c r="I53">
        <v>23352</v>
      </c>
      <c r="J53">
        <v>22982</v>
      </c>
      <c r="K53">
        <v>213</v>
      </c>
      <c r="L53">
        <f>SUM(Table2_1[[#This Row],[Likes]:[Comments]])</f>
        <v>3009</v>
      </c>
      <c r="M53" t="s">
        <v>51</v>
      </c>
      <c r="N53" t="s">
        <v>28</v>
      </c>
      <c r="O53" s="67">
        <v>0.12885405960945528</v>
      </c>
      <c r="P53" t="s">
        <v>394</v>
      </c>
      <c r="Q53" t="s">
        <v>51</v>
      </c>
    </row>
    <row r="54" spans="1:17" x14ac:dyDescent="0.3">
      <c r="A54" t="s">
        <v>189</v>
      </c>
      <c r="B54" t="s">
        <v>14</v>
      </c>
      <c r="C54" s="48">
        <v>45494</v>
      </c>
      <c r="D54" t="s">
        <v>20</v>
      </c>
      <c r="E54" t="s">
        <v>21</v>
      </c>
      <c r="F54">
        <v>2147</v>
      </c>
      <c r="G54">
        <v>430</v>
      </c>
      <c r="H54">
        <v>393</v>
      </c>
      <c r="I54">
        <v>17176</v>
      </c>
      <c r="J54">
        <v>16483</v>
      </c>
      <c r="K54">
        <v>170</v>
      </c>
      <c r="L54">
        <f>SUM(Table2_1[[#This Row],[Likes]:[Comments]])</f>
        <v>2970</v>
      </c>
      <c r="M54" t="s">
        <v>27</v>
      </c>
      <c r="N54" t="s">
        <v>397</v>
      </c>
      <c r="O54" s="67">
        <v>0.17291569632044715</v>
      </c>
      <c r="P54" t="s">
        <v>394</v>
      </c>
      <c r="Q54" t="s">
        <v>27</v>
      </c>
    </row>
    <row r="55" spans="1:17" x14ac:dyDescent="0.3">
      <c r="A55" t="s">
        <v>219</v>
      </c>
      <c r="B55" t="s">
        <v>25</v>
      </c>
      <c r="C55" s="48">
        <v>45496</v>
      </c>
      <c r="D55" t="s">
        <v>31</v>
      </c>
      <c r="E55" t="s">
        <v>105</v>
      </c>
      <c r="F55">
        <v>4775</v>
      </c>
      <c r="G55">
        <v>173</v>
      </c>
      <c r="H55">
        <v>206</v>
      </c>
      <c r="I55">
        <v>47750</v>
      </c>
      <c r="J55">
        <v>47544</v>
      </c>
      <c r="K55">
        <v>187</v>
      </c>
      <c r="L55">
        <f>SUM(Table2_1[[#This Row],[Likes]:[Comments]])</f>
        <v>5154</v>
      </c>
      <c r="M55" t="s">
        <v>51</v>
      </c>
      <c r="N55" t="s">
        <v>23</v>
      </c>
      <c r="O55" s="67">
        <v>0.10793717277486911</v>
      </c>
      <c r="P55" t="s">
        <v>394</v>
      </c>
      <c r="Q55" t="s">
        <v>51</v>
      </c>
    </row>
    <row r="56" spans="1:17" x14ac:dyDescent="0.3">
      <c r="A56" t="s">
        <v>139</v>
      </c>
      <c r="B56" t="s">
        <v>30</v>
      </c>
      <c r="C56" s="48">
        <v>45497</v>
      </c>
      <c r="D56" t="s">
        <v>44</v>
      </c>
      <c r="E56" t="s">
        <v>140</v>
      </c>
      <c r="F56">
        <v>725</v>
      </c>
      <c r="G56">
        <v>88</v>
      </c>
      <c r="H56">
        <v>428</v>
      </c>
      <c r="I56">
        <v>14500</v>
      </c>
      <c r="J56">
        <v>13637</v>
      </c>
      <c r="K56">
        <v>200</v>
      </c>
      <c r="L56">
        <f>SUM(Table2_1[[#This Row],[Likes]:[Comments]])</f>
        <v>1241</v>
      </c>
      <c r="M56" t="s">
        <v>141</v>
      </c>
      <c r="N56" t="s">
        <v>28</v>
      </c>
      <c r="O56" s="67">
        <v>8.558620689655172E-2</v>
      </c>
      <c r="P56" t="s">
        <v>394</v>
      </c>
      <c r="Q56" t="s">
        <v>51</v>
      </c>
    </row>
    <row r="57" spans="1:17" x14ac:dyDescent="0.3">
      <c r="A57" t="s">
        <v>139</v>
      </c>
      <c r="B57" t="s">
        <v>30</v>
      </c>
      <c r="C57" s="48">
        <v>45497</v>
      </c>
      <c r="D57" t="s">
        <v>44</v>
      </c>
      <c r="E57" t="s">
        <v>140</v>
      </c>
      <c r="F57">
        <v>725</v>
      </c>
      <c r="G57">
        <v>88</v>
      </c>
      <c r="H57">
        <v>428</v>
      </c>
      <c r="I57">
        <v>14500</v>
      </c>
      <c r="J57">
        <v>13637</v>
      </c>
      <c r="K57">
        <v>200</v>
      </c>
      <c r="L57">
        <f>SUM(Table2_1[[#This Row],[Likes]:[Comments]])</f>
        <v>1241</v>
      </c>
      <c r="M57" t="s">
        <v>141</v>
      </c>
      <c r="N57" t="s">
        <v>28</v>
      </c>
      <c r="O57" s="67">
        <v>8.558620689655172E-2</v>
      </c>
      <c r="P57" t="s">
        <v>395</v>
      </c>
      <c r="Q57" t="s">
        <v>27</v>
      </c>
    </row>
    <row r="58" spans="1:17" x14ac:dyDescent="0.3">
      <c r="A58" t="s">
        <v>139</v>
      </c>
      <c r="B58" t="s">
        <v>30</v>
      </c>
      <c r="C58" s="48">
        <v>45497</v>
      </c>
      <c r="D58" t="s">
        <v>44</v>
      </c>
      <c r="E58" t="s">
        <v>140</v>
      </c>
      <c r="F58">
        <v>725</v>
      </c>
      <c r="G58">
        <v>88</v>
      </c>
      <c r="H58">
        <v>428</v>
      </c>
      <c r="I58">
        <v>14500</v>
      </c>
      <c r="J58">
        <v>13637</v>
      </c>
      <c r="K58">
        <v>200</v>
      </c>
      <c r="L58">
        <f>SUM(Table2_1[[#This Row],[Likes]:[Comments]])</f>
        <v>1241</v>
      </c>
      <c r="M58" t="s">
        <v>141</v>
      </c>
      <c r="N58" t="s">
        <v>28</v>
      </c>
      <c r="O58" s="67">
        <v>8.558620689655172E-2</v>
      </c>
      <c r="P58" t="s">
        <v>396</v>
      </c>
      <c r="Q58" t="s">
        <v>392</v>
      </c>
    </row>
    <row r="59" spans="1:17" x14ac:dyDescent="0.3">
      <c r="A59" t="s">
        <v>123</v>
      </c>
      <c r="B59" t="s">
        <v>14</v>
      </c>
      <c r="C59" s="48">
        <v>45499</v>
      </c>
      <c r="D59" t="s">
        <v>39</v>
      </c>
      <c r="E59" t="s">
        <v>42</v>
      </c>
      <c r="F59">
        <v>432</v>
      </c>
      <c r="G59">
        <v>171</v>
      </c>
      <c r="H59">
        <v>280</v>
      </c>
      <c r="I59">
        <v>3024</v>
      </c>
      <c r="J59">
        <v>2285</v>
      </c>
      <c r="K59">
        <v>184</v>
      </c>
      <c r="L59">
        <f>SUM(Table2_1[[#This Row],[Likes]:[Comments]])</f>
        <v>883</v>
      </c>
      <c r="M59" t="s">
        <v>33</v>
      </c>
      <c r="N59" t="s">
        <v>18</v>
      </c>
      <c r="O59" s="67">
        <v>0.29199735449735448</v>
      </c>
      <c r="P59" t="s">
        <v>394</v>
      </c>
      <c r="Q59" t="s">
        <v>33</v>
      </c>
    </row>
    <row r="60" spans="1:17" x14ac:dyDescent="0.3">
      <c r="A60" t="s">
        <v>213</v>
      </c>
      <c r="B60" t="s">
        <v>30</v>
      </c>
      <c r="C60" s="48">
        <v>45499</v>
      </c>
      <c r="D60" t="s">
        <v>44</v>
      </c>
      <c r="E60" t="s">
        <v>140</v>
      </c>
      <c r="F60">
        <v>3559</v>
      </c>
      <c r="G60">
        <v>59</v>
      </c>
      <c r="H60">
        <v>289</v>
      </c>
      <c r="I60">
        <v>35590</v>
      </c>
      <c r="J60">
        <v>35105</v>
      </c>
      <c r="K60">
        <v>122</v>
      </c>
      <c r="L60">
        <f>SUM(Table2_1[[#This Row],[Likes]:[Comments]])</f>
        <v>3907</v>
      </c>
      <c r="M60" t="s">
        <v>33</v>
      </c>
      <c r="N60" t="s">
        <v>18</v>
      </c>
      <c r="O60" s="67">
        <v>0.10977802753582468</v>
      </c>
      <c r="P60" t="s">
        <v>394</v>
      </c>
      <c r="Q60" t="s">
        <v>33</v>
      </c>
    </row>
    <row r="61" spans="1:17" x14ac:dyDescent="0.3">
      <c r="A61" t="s">
        <v>246</v>
      </c>
      <c r="B61" t="s">
        <v>14</v>
      </c>
      <c r="C61" s="48">
        <v>45501</v>
      </c>
      <c r="D61" t="s">
        <v>44</v>
      </c>
      <c r="E61" t="s">
        <v>92</v>
      </c>
      <c r="F61">
        <v>3215</v>
      </c>
      <c r="G61">
        <v>960</v>
      </c>
      <c r="H61">
        <v>202</v>
      </c>
      <c r="I61">
        <v>32150</v>
      </c>
      <c r="J61">
        <v>31404</v>
      </c>
      <c r="K61">
        <v>251</v>
      </c>
      <c r="L61">
        <f>SUM(Table2_1[[#This Row],[Likes]:[Comments]])</f>
        <v>4377</v>
      </c>
      <c r="M61" t="s">
        <v>33</v>
      </c>
      <c r="N61" t="s">
        <v>18</v>
      </c>
      <c r="O61" s="67">
        <v>0.13614307931570763</v>
      </c>
      <c r="P61" t="s">
        <v>394</v>
      </c>
      <c r="Q61" t="s">
        <v>33</v>
      </c>
    </row>
    <row r="62" spans="1:17" x14ac:dyDescent="0.3">
      <c r="A62" t="s">
        <v>170</v>
      </c>
      <c r="B62" t="s">
        <v>30</v>
      </c>
      <c r="C62" s="48">
        <v>45502</v>
      </c>
      <c r="D62" t="s">
        <v>15</v>
      </c>
      <c r="E62" t="s">
        <v>64</v>
      </c>
      <c r="F62">
        <v>3523</v>
      </c>
      <c r="G62">
        <v>753</v>
      </c>
      <c r="H62">
        <v>482</v>
      </c>
      <c r="I62">
        <v>38753</v>
      </c>
      <c r="J62">
        <v>38579</v>
      </c>
      <c r="K62">
        <v>270</v>
      </c>
      <c r="L62">
        <f>SUM(Table2_1[[#This Row],[Likes]:[Comments]])</f>
        <v>4758</v>
      </c>
      <c r="M62" t="s">
        <v>33</v>
      </c>
      <c r="N62" t="s">
        <v>23</v>
      </c>
      <c r="O62" s="67">
        <v>0.12277759141227776</v>
      </c>
      <c r="P62" t="s">
        <v>394</v>
      </c>
      <c r="Q62" t="s">
        <v>33</v>
      </c>
    </row>
    <row r="63" spans="1:17" x14ac:dyDescent="0.3">
      <c r="A63" t="s">
        <v>181</v>
      </c>
      <c r="B63" t="s">
        <v>30</v>
      </c>
      <c r="C63" s="48">
        <v>45502</v>
      </c>
      <c r="D63" t="s">
        <v>31</v>
      </c>
      <c r="E63" t="s">
        <v>32</v>
      </c>
      <c r="F63">
        <v>498</v>
      </c>
      <c r="G63">
        <v>701</v>
      </c>
      <c r="H63">
        <v>412</v>
      </c>
      <c r="I63">
        <v>4980</v>
      </c>
      <c r="J63">
        <v>4185</v>
      </c>
      <c r="K63">
        <v>185</v>
      </c>
      <c r="L63">
        <f>SUM(Table2_1[[#This Row],[Likes]:[Comments]])</f>
        <v>1611</v>
      </c>
      <c r="M63" t="s">
        <v>51</v>
      </c>
      <c r="N63" t="s">
        <v>397</v>
      </c>
      <c r="O63" s="67">
        <v>0.32349397590361445</v>
      </c>
      <c r="P63" t="s">
        <v>394</v>
      </c>
      <c r="Q63" t="s">
        <v>51</v>
      </c>
    </row>
    <row r="64" spans="1:17" x14ac:dyDescent="0.3">
      <c r="A64" t="s">
        <v>279</v>
      </c>
      <c r="B64" t="s">
        <v>25</v>
      </c>
      <c r="C64" s="48">
        <v>45502</v>
      </c>
      <c r="D64" t="s">
        <v>31</v>
      </c>
      <c r="E64" t="s">
        <v>105</v>
      </c>
      <c r="F64">
        <v>1509</v>
      </c>
      <c r="G64">
        <v>88</v>
      </c>
      <c r="H64">
        <v>163</v>
      </c>
      <c r="I64">
        <v>30180</v>
      </c>
      <c r="J64">
        <v>29689</v>
      </c>
      <c r="K64">
        <v>119</v>
      </c>
      <c r="L64">
        <f>SUM(Table2_1[[#This Row],[Likes]:[Comments]])</f>
        <v>1760</v>
      </c>
      <c r="M64" t="s">
        <v>33</v>
      </c>
      <c r="N64" t="s">
        <v>23</v>
      </c>
      <c r="O64" s="67">
        <v>5.8316766070245198E-2</v>
      </c>
      <c r="P64" t="s">
        <v>394</v>
      </c>
      <c r="Q64" t="s">
        <v>33</v>
      </c>
    </row>
    <row r="65" spans="1:17" x14ac:dyDescent="0.3">
      <c r="A65" t="s">
        <v>83</v>
      </c>
      <c r="B65" t="s">
        <v>14</v>
      </c>
      <c r="C65" s="48">
        <v>45504</v>
      </c>
      <c r="D65" t="s">
        <v>39</v>
      </c>
      <c r="E65" t="s">
        <v>42</v>
      </c>
      <c r="F65">
        <v>2278</v>
      </c>
      <c r="G65">
        <v>10</v>
      </c>
      <c r="H65">
        <v>321</v>
      </c>
      <c r="I65">
        <v>13668</v>
      </c>
      <c r="J65">
        <v>12676</v>
      </c>
      <c r="K65">
        <v>275</v>
      </c>
      <c r="L65">
        <f>SUM(Table2_1[[#This Row],[Likes]:[Comments]])</f>
        <v>2609</v>
      </c>
      <c r="M65" t="s">
        <v>33</v>
      </c>
      <c r="N65" t="s">
        <v>18</v>
      </c>
      <c r="O65" s="67">
        <v>0.19088381621305239</v>
      </c>
      <c r="P65" t="s">
        <v>394</v>
      </c>
      <c r="Q65" t="s">
        <v>33</v>
      </c>
    </row>
    <row r="66" spans="1:17" x14ac:dyDescent="0.3">
      <c r="A66" t="s">
        <v>120</v>
      </c>
      <c r="B66" t="s">
        <v>14</v>
      </c>
      <c r="C66" s="48">
        <v>45504</v>
      </c>
      <c r="D66" t="s">
        <v>39</v>
      </c>
      <c r="E66" t="s">
        <v>42</v>
      </c>
      <c r="F66">
        <v>4507</v>
      </c>
      <c r="G66">
        <v>217</v>
      </c>
      <c r="H66">
        <v>13</v>
      </c>
      <c r="I66">
        <v>90140</v>
      </c>
      <c r="J66">
        <v>89591</v>
      </c>
      <c r="K66">
        <v>125</v>
      </c>
      <c r="L66">
        <f>SUM(Table2_1[[#This Row],[Likes]:[Comments]])</f>
        <v>4737</v>
      </c>
      <c r="M66" t="s">
        <v>51</v>
      </c>
      <c r="N66" t="s">
        <v>28</v>
      </c>
      <c r="O66" s="67">
        <v>5.2551586421122697E-2</v>
      </c>
      <c r="P66" t="s">
        <v>394</v>
      </c>
      <c r="Q66" t="s">
        <v>51</v>
      </c>
    </row>
    <row r="67" spans="1:17" x14ac:dyDescent="0.3">
      <c r="A67" t="s">
        <v>197</v>
      </c>
      <c r="B67" t="s">
        <v>38</v>
      </c>
      <c r="C67" s="48">
        <v>45504</v>
      </c>
      <c r="D67" t="s">
        <v>59</v>
      </c>
      <c r="E67" t="s">
        <v>60</v>
      </c>
      <c r="F67">
        <v>3008</v>
      </c>
      <c r="G67">
        <v>94</v>
      </c>
      <c r="H67">
        <v>37</v>
      </c>
      <c r="I67">
        <v>15040</v>
      </c>
      <c r="J67">
        <v>14639</v>
      </c>
      <c r="K67">
        <v>277</v>
      </c>
      <c r="L67">
        <f>SUM(Table2_1[[#This Row],[Likes]:[Comments]])</f>
        <v>3139</v>
      </c>
      <c r="M67" t="s">
        <v>51</v>
      </c>
      <c r="N67" t="s">
        <v>397</v>
      </c>
      <c r="O67" s="67">
        <v>0.20871010638297871</v>
      </c>
      <c r="P67" t="s">
        <v>394</v>
      </c>
      <c r="Q67" t="s">
        <v>51</v>
      </c>
    </row>
    <row r="68" spans="1:17" x14ac:dyDescent="0.3">
      <c r="A68" t="s">
        <v>244</v>
      </c>
      <c r="B68" t="s">
        <v>38</v>
      </c>
      <c r="C68" s="48">
        <v>45504</v>
      </c>
      <c r="D68" t="s">
        <v>44</v>
      </c>
      <c r="E68" t="s">
        <v>49</v>
      </c>
      <c r="F68">
        <v>4689</v>
      </c>
      <c r="G68">
        <v>134</v>
      </c>
      <c r="H68">
        <v>403</v>
      </c>
      <c r="I68">
        <v>51579</v>
      </c>
      <c r="J68">
        <v>50924</v>
      </c>
      <c r="K68">
        <v>173</v>
      </c>
      <c r="L68">
        <f>SUM(Table2_1[[#This Row],[Likes]:[Comments]])</f>
        <v>5226</v>
      </c>
      <c r="M68" t="s">
        <v>27</v>
      </c>
      <c r="N68" t="s">
        <v>34</v>
      </c>
      <c r="O68" s="67">
        <v>0.10132030477519921</v>
      </c>
      <c r="P68" t="s">
        <v>394</v>
      </c>
      <c r="Q68" t="s">
        <v>27</v>
      </c>
    </row>
    <row r="69" spans="1:17" x14ac:dyDescent="0.3">
      <c r="A69" t="s">
        <v>132</v>
      </c>
      <c r="B69" t="s">
        <v>30</v>
      </c>
      <c r="C69" s="48">
        <v>45505</v>
      </c>
      <c r="D69" t="s">
        <v>15</v>
      </c>
      <c r="E69" t="s">
        <v>64</v>
      </c>
      <c r="F69">
        <v>1674</v>
      </c>
      <c r="G69">
        <v>929</v>
      </c>
      <c r="H69">
        <v>37</v>
      </c>
      <c r="I69">
        <v>21762</v>
      </c>
      <c r="J69">
        <v>20998</v>
      </c>
      <c r="K69">
        <v>255</v>
      </c>
      <c r="L69">
        <f>SUM(Table2_1[[#This Row],[Likes]:[Comments]])</f>
        <v>2640</v>
      </c>
      <c r="M69" t="s">
        <v>27</v>
      </c>
      <c r="N69" t="s">
        <v>34</v>
      </c>
      <c r="O69" s="67">
        <v>0.12131237937689551</v>
      </c>
      <c r="P69" t="s">
        <v>394</v>
      </c>
      <c r="Q69" t="s">
        <v>27</v>
      </c>
    </row>
    <row r="70" spans="1:17" x14ac:dyDescent="0.3">
      <c r="A70" t="s">
        <v>319</v>
      </c>
      <c r="B70" t="s">
        <v>14</v>
      </c>
      <c r="C70" s="48">
        <v>45507</v>
      </c>
      <c r="D70" t="s">
        <v>15</v>
      </c>
      <c r="E70" t="s">
        <v>16</v>
      </c>
      <c r="F70">
        <v>3791</v>
      </c>
      <c r="G70">
        <v>593</v>
      </c>
      <c r="H70">
        <v>228</v>
      </c>
      <c r="I70">
        <v>53074</v>
      </c>
      <c r="J70">
        <v>52613</v>
      </c>
      <c r="K70">
        <v>205</v>
      </c>
      <c r="L70">
        <f>SUM(Table2_1[[#This Row],[Likes]:[Comments]])</f>
        <v>4612</v>
      </c>
      <c r="M70" t="s">
        <v>33</v>
      </c>
      <c r="N70" t="s">
        <v>397</v>
      </c>
      <c r="O70" s="67">
        <v>8.6897539284772202E-2</v>
      </c>
      <c r="P70" t="s">
        <v>394</v>
      </c>
      <c r="Q70" t="s">
        <v>33</v>
      </c>
    </row>
    <row r="71" spans="1:17" x14ac:dyDescent="0.3">
      <c r="A71" t="s">
        <v>325</v>
      </c>
      <c r="B71" t="s">
        <v>30</v>
      </c>
      <c r="C71" s="48">
        <v>45509</v>
      </c>
      <c r="D71" t="s">
        <v>31</v>
      </c>
      <c r="E71" t="s">
        <v>32</v>
      </c>
      <c r="F71">
        <v>3601</v>
      </c>
      <c r="G71">
        <v>695</v>
      </c>
      <c r="H71">
        <v>75</v>
      </c>
      <c r="I71">
        <v>21606</v>
      </c>
      <c r="J71">
        <v>21454</v>
      </c>
      <c r="K71">
        <v>172</v>
      </c>
      <c r="L71">
        <f>SUM(Table2_1[[#This Row],[Likes]:[Comments]])</f>
        <v>4371</v>
      </c>
      <c r="M71" t="s">
        <v>33</v>
      </c>
      <c r="N71" t="s">
        <v>23</v>
      </c>
      <c r="O71" s="67">
        <v>0.2023049153013052</v>
      </c>
      <c r="P71" t="s">
        <v>394</v>
      </c>
      <c r="Q71" t="s">
        <v>33</v>
      </c>
    </row>
    <row r="72" spans="1:17" x14ac:dyDescent="0.3">
      <c r="A72" t="s">
        <v>343</v>
      </c>
      <c r="B72" t="s">
        <v>38</v>
      </c>
      <c r="C72" s="48">
        <v>45509</v>
      </c>
      <c r="D72" t="s">
        <v>15</v>
      </c>
      <c r="E72" t="s">
        <v>53</v>
      </c>
      <c r="F72">
        <v>1741</v>
      </c>
      <c r="G72">
        <v>831</v>
      </c>
      <c r="H72">
        <v>345</v>
      </c>
      <c r="I72">
        <v>17410</v>
      </c>
      <c r="J72">
        <v>16844</v>
      </c>
      <c r="K72">
        <v>58</v>
      </c>
      <c r="L72">
        <f>SUM(Table2_1[[#This Row],[Likes]:[Comments]])</f>
        <v>2917</v>
      </c>
      <c r="M72" t="s">
        <v>33</v>
      </c>
      <c r="N72" t="s">
        <v>28</v>
      </c>
      <c r="O72" s="67">
        <v>0.16754738655944859</v>
      </c>
      <c r="P72" t="s">
        <v>394</v>
      </c>
      <c r="Q72" t="s">
        <v>33</v>
      </c>
    </row>
    <row r="73" spans="1:17" x14ac:dyDescent="0.3">
      <c r="A73" t="s">
        <v>290</v>
      </c>
      <c r="B73" t="s">
        <v>30</v>
      </c>
      <c r="C73" s="48">
        <v>45511</v>
      </c>
      <c r="D73" t="s">
        <v>39</v>
      </c>
      <c r="E73" t="s">
        <v>68</v>
      </c>
      <c r="F73">
        <v>1741</v>
      </c>
      <c r="G73">
        <v>164</v>
      </c>
      <c r="H73">
        <v>318</v>
      </c>
      <c r="I73">
        <v>8705</v>
      </c>
      <c r="J73">
        <v>8272</v>
      </c>
      <c r="K73">
        <v>121</v>
      </c>
      <c r="L73">
        <f>SUM(Table2_1[[#This Row],[Likes]:[Comments]])</f>
        <v>2223</v>
      </c>
      <c r="M73" t="s">
        <v>27</v>
      </c>
      <c r="N73" t="s">
        <v>397</v>
      </c>
      <c r="O73" s="67">
        <v>0.25537047673750718</v>
      </c>
      <c r="P73" t="s">
        <v>394</v>
      </c>
      <c r="Q73" t="s">
        <v>27</v>
      </c>
    </row>
    <row r="74" spans="1:17" x14ac:dyDescent="0.3">
      <c r="A74" t="s">
        <v>169</v>
      </c>
      <c r="B74" t="s">
        <v>14</v>
      </c>
      <c r="C74" s="48">
        <v>45512</v>
      </c>
      <c r="D74" t="s">
        <v>31</v>
      </c>
      <c r="E74" t="s">
        <v>102</v>
      </c>
      <c r="F74">
        <v>3649</v>
      </c>
      <c r="G74">
        <v>215</v>
      </c>
      <c r="H74">
        <v>413</v>
      </c>
      <c r="I74">
        <v>25543</v>
      </c>
      <c r="J74">
        <v>24963</v>
      </c>
      <c r="K74">
        <v>167</v>
      </c>
      <c r="L74">
        <f>SUM(Table2_1[[#This Row],[Likes]:[Comments]])</f>
        <v>4277</v>
      </c>
      <c r="M74" t="s">
        <v>51</v>
      </c>
      <c r="N74" t="s">
        <v>28</v>
      </c>
      <c r="O74" s="67">
        <v>0.16744313510550835</v>
      </c>
      <c r="P74" t="s">
        <v>394</v>
      </c>
      <c r="Q74" t="s">
        <v>51</v>
      </c>
    </row>
    <row r="75" spans="1:17" x14ac:dyDescent="0.3">
      <c r="A75" t="s">
        <v>220</v>
      </c>
      <c r="B75" t="s">
        <v>30</v>
      </c>
      <c r="C75" s="48">
        <v>45515</v>
      </c>
      <c r="D75" t="s">
        <v>31</v>
      </c>
      <c r="E75" t="s">
        <v>32</v>
      </c>
      <c r="F75">
        <v>1762</v>
      </c>
      <c r="G75">
        <v>405</v>
      </c>
      <c r="H75">
        <v>423</v>
      </c>
      <c r="I75">
        <v>22906</v>
      </c>
      <c r="J75">
        <v>21925</v>
      </c>
      <c r="K75">
        <v>25</v>
      </c>
      <c r="L75">
        <f>SUM(Table2_1[[#This Row],[Likes]:[Comments]])</f>
        <v>2590</v>
      </c>
      <c r="M75" t="s">
        <v>27</v>
      </c>
      <c r="N75" t="s">
        <v>18</v>
      </c>
      <c r="O75" s="67">
        <v>0.11307081114118571</v>
      </c>
      <c r="P75" t="s">
        <v>394</v>
      </c>
      <c r="Q75" t="s">
        <v>27</v>
      </c>
    </row>
    <row r="76" spans="1:17" x14ac:dyDescent="0.3">
      <c r="A76" t="s">
        <v>29</v>
      </c>
      <c r="B76" t="s">
        <v>30</v>
      </c>
      <c r="C76" s="48">
        <v>45516</v>
      </c>
      <c r="D76" t="s">
        <v>31</v>
      </c>
      <c r="E76" t="s">
        <v>32</v>
      </c>
      <c r="F76">
        <v>2404</v>
      </c>
      <c r="G76">
        <v>363</v>
      </c>
      <c r="H76">
        <v>138</v>
      </c>
      <c r="I76">
        <v>19232</v>
      </c>
      <c r="J76">
        <v>18636</v>
      </c>
      <c r="K76">
        <v>128</v>
      </c>
      <c r="L76">
        <f>SUM(Table2_1[[#This Row],[Likes]:[Comments]])</f>
        <v>2905</v>
      </c>
      <c r="M76" t="s">
        <v>33</v>
      </c>
      <c r="N76" t="s">
        <v>34</v>
      </c>
      <c r="O76" s="67">
        <v>0.15105033277870217</v>
      </c>
      <c r="P76" t="s">
        <v>394</v>
      </c>
      <c r="Q76" t="s">
        <v>33</v>
      </c>
    </row>
    <row r="77" spans="1:17" x14ac:dyDescent="0.3">
      <c r="A77" t="s">
        <v>206</v>
      </c>
      <c r="B77" t="s">
        <v>30</v>
      </c>
      <c r="C77" s="48">
        <v>45516</v>
      </c>
      <c r="D77" t="s">
        <v>39</v>
      </c>
      <c r="E77" t="s">
        <v>68</v>
      </c>
      <c r="F77">
        <v>1878</v>
      </c>
      <c r="G77">
        <v>62</v>
      </c>
      <c r="H77">
        <v>179</v>
      </c>
      <c r="I77">
        <v>37560</v>
      </c>
      <c r="J77">
        <v>36874</v>
      </c>
      <c r="K77">
        <v>142</v>
      </c>
      <c r="L77">
        <f>SUM(Table2_1[[#This Row],[Likes]:[Comments]])</f>
        <v>2119</v>
      </c>
      <c r="M77" t="s">
        <v>27</v>
      </c>
      <c r="N77" t="s">
        <v>34</v>
      </c>
      <c r="O77" s="67">
        <v>5.6416400425985093E-2</v>
      </c>
      <c r="P77" t="s">
        <v>394</v>
      </c>
      <c r="Q77" t="s">
        <v>27</v>
      </c>
    </row>
    <row r="78" spans="1:17" x14ac:dyDescent="0.3">
      <c r="A78" t="s">
        <v>157</v>
      </c>
      <c r="B78" t="s">
        <v>30</v>
      </c>
      <c r="C78" s="48">
        <v>45517</v>
      </c>
      <c r="D78" t="s">
        <v>44</v>
      </c>
      <c r="E78" t="s">
        <v>140</v>
      </c>
      <c r="F78">
        <v>4739</v>
      </c>
      <c r="G78">
        <v>527</v>
      </c>
      <c r="H78">
        <v>135</v>
      </c>
      <c r="I78">
        <v>61607</v>
      </c>
      <c r="J78">
        <v>61333</v>
      </c>
      <c r="K78">
        <v>36</v>
      </c>
      <c r="L78">
        <f>SUM(Table2_1[[#This Row],[Likes]:[Comments]])</f>
        <v>5401</v>
      </c>
      <c r="M78" t="s">
        <v>72</v>
      </c>
      <c r="N78" t="s">
        <v>23</v>
      </c>
      <c r="O78" s="67">
        <v>8.7668609086629767E-2</v>
      </c>
      <c r="P78" t="s">
        <v>394</v>
      </c>
      <c r="Q78" t="s">
        <v>27</v>
      </c>
    </row>
    <row r="79" spans="1:17" x14ac:dyDescent="0.3">
      <c r="A79" t="s">
        <v>157</v>
      </c>
      <c r="B79" t="s">
        <v>30</v>
      </c>
      <c r="C79" s="48">
        <v>45517</v>
      </c>
      <c r="D79" t="s">
        <v>44</v>
      </c>
      <c r="E79" t="s">
        <v>140</v>
      </c>
      <c r="F79">
        <v>4739</v>
      </c>
      <c r="G79">
        <v>527</v>
      </c>
      <c r="H79">
        <v>135</v>
      </c>
      <c r="I79">
        <v>61607</v>
      </c>
      <c r="J79">
        <v>61333</v>
      </c>
      <c r="K79">
        <v>36</v>
      </c>
      <c r="L79">
        <f>SUM(Table2_1[[#This Row],[Likes]:[Comments]])</f>
        <v>5401</v>
      </c>
      <c r="M79" t="s">
        <v>72</v>
      </c>
      <c r="N79" t="s">
        <v>23</v>
      </c>
      <c r="O79" s="67">
        <v>8.7668609086629767E-2</v>
      </c>
      <c r="P79" t="s">
        <v>395</v>
      </c>
      <c r="Q79" t="s">
        <v>392</v>
      </c>
    </row>
    <row r="80" spans="1:17" x14ac:dyDescent="0.3">
      <c r="A80" t="s">
        <v>234</v>
      </c>
      <c r="B80" t="s">
        <v>38</v>
      </c>
      <c r="C80" s="48">
        <v>45518</v>
      </c>
      <c r="D80" t="s">
        <v>39</v>
      </c>
      <c r="E80" t="s">
        <v>40</v>
      </c>
      <c r="F80">
        <v>3073</v>
      </c>
      <c r="G80">
        <v>553</v>
      </c>
      <c r="H80">
        <v>174</v>
      </c>
      <c r="I80">
        <v>52241</v>
      </c>
      <c r="J80">
        <v>51605</v>
      </c>
      <c r="K80">
        <v>246</v>
      </c>
      <c r="L80">
        <f>SUM(Table2_1[[#This Row],[Likes]:[Comments]])</f>
        <v>3800</v>
      </c>
      <c r="M80" t="s">
        <v>33</v>
      </c>
      <c r="N80" t="s">
        <v>28</v>
      </c>
      <c r="O80" s="67">
        <v>7.2739802071170159E-2</v>
      </c>
      <c r="P80" t="s">
        <v>394</v>
      </c>
      <c r="Q80" t="s">
        <v>33</v>
      </c>
    </row>
    <row r="81" spans="1:17" x14ac:dyDescent="0.3">
      <c r="A81" t="s">
        <v>257</v>
      </c>
      <c r="B81" t="s">
        <v>30</v>
      </c>
      <c r="C81" s="48">
        <v>45519</v>
      </c>
      <c r="D81" t="s">
        <v>39</v>
      </c>
      <c r="E81" t="s">
        <v>68</v>
      </c>
      <c r="F81">
        <v>914</v>
      </c>
      <c r="G81">
        <v>464</v>
      </c>
      <c r="H81">
        <v>246</v>
      </c>
      <c r="I81">
        <v>11882</v>
      </c>
      <c r="J81">
        <v>11500</v>
      </c>
      <c r="K81">
        <v>282</v>
      </c>
      <c r="L81">
        <f>SUM(Table2_1[[#This Row],[Likes]:[Comments]])</f>
        <v>1624</v>
      </c>
      <c r="M81" t="s">
        <v>141</v>
      </c>
      <c r="N81" t="s">
        <v>34</v>
      </c>
      <c r="O81" s="67">
        <v>0.13667732704931829</v>
      </c>
      <c r="P81" t="s">
        <v>394</v>
      </c>
      <c r="Q81" t="s">
        <v>51</v>
      </c>
    </row>
    <row r="82" spans="1:17" x14ac:dyDescent="0.3">
      <c r="A82" t="s">
        <v>257</v>
      </c>
      <c r="B82" t="s">
        <v>30</v>
      </c>
      <c r="C82" s="48">
        <v>45519</v>
      </c>
      <c r="D82" t="s">
        <v>39</v>
      </c>
      <c r="E82" t="s">
        <v>68</v>
      </c>
      <c r="F82">
        <v>914</v>
      </c>
      <c r="G82">
        <v>464</v>
      </c>
      <c r="H82">
        <v>246</v>
      </c>
      <c r="I82">
        <v>11882</v>
      </c>
      <c r="J82">
        <v>11500</v>
      </c>
      <c r="K82">
        <v>282</v>
      </c>
      <c r="L82">
        <f>SUM(Table2_1[[#This Row],[Likes]:[Comments]])</f>
        <v>1624</v>
      </c>
      <c r="M82" t="s">
        <v>141</v>
      </c>
      <c r="N82" t="s">
        <v>34</v>
      </c>
      <c r="O82" s="67">
        <v>0.13667732704931829</v>
      </c>
      <c r="P82" t="s">
        <v>395</v>
      </c>
      <c r="Q82" t="s">
        <v>27</v>
      </c>
    </row>
    <row r="83" spans="1:17" x14ac:dyDescent="0.3">
      <c r="A83" t="s">
        <v>257</v>
      </c>
      <c r="B83" t="s">
        <v>30</v>
      </c>
      <c r="C83" s="48">
        <v>45519</v>
      </c>
      <c r="D83" t="s">
        <v>39</v>
      </c>
      <c r="E83" t="s">
        <v>68</v>
      </c>
      <c r="F83">
        <v>914</v>
      </c>
      <c r="G83">
        <v>464</v>
      </c>
      <c r="H83">
        <v>246</v>
      </c>
      <c r="I83">
        <v>11882</v>
      </c>
      <c r="J83">
        <v>11500</v>
      </c>
      <c r="K83">
        <v>282</v>
      </c>
      <c r="L83">
        <f>SUM(Table2_1[[#This Row],[Likes]:[Comments]])</f>
        <v>1624</v>
      </c>
      <c r="M83" t="s">
        <v>141</v>
      </c>
      <c r="N83" t="s">
        <v>34</v>
      </c>
      <c r="O83" s="67">
        <v>0.13667732704931829</v>
      </c>
      <c r="P83" t="s">
        <v>396</v>
      </c>
      <c r="Q83" t="s">
        <v>392</v>
      </c>
    </row>
    <row r="84" spans="1:17" x14ac:dyDescent="0.3">
      <c r="A84" t="s">
        <v>355</v>
      </c>
      <c r="B84" t="s">
        <v>30</v>
      </c>
      <c r="C84" s="48">
        <v>45519</v>
      </c>
      <c r="D84" t="s">
        <v>15</v>
      </c>
      <c r="E84" t="s">
        <v>64</v>
      </c>
      <c r="F84">
        <v>1164</v>
      </c>
      <c r="G84">
        <v>616</v>
      </c>
      <c r="H84">
        <v>324</v>
      </c>
      <c r="I84">
        <v>6984</v>
      </c>
      <c r="J84">
        <v>6636</v>
      </c>
      <c r="K84">
        <v>82</v>
      </c>
      <c r="L84">
        <f>SUM(Table2_1[[#This Row],[Likes]:[Comments]])</f>
        <v>2104</v>
      </c>
      <c r="M84" t="s">
        <v>33</v>
      </c>
      <c r="N84" t="s">
        <v>18</v>
      </c>
      <c r="O84" s="67">
        <v>0.30126002290950743</v>
      </c>
      <c r="P84" t="s">
        <v>394</v>
      </c>
      <c r="Q84" t="s">
        <v>33</v>
      </c>
    </row>
    <row r="85" spans="1:17" x14ac:dyDescent="0.3">
      <c r="A85" t="s">
        <v>121</v>
      </c>
      <c r="B85" t="s">
        <v>38</v>
      </c>
      <c r="C85" s="48">
        <v>45521</v>
      </c>
      <c r="D85" t="s">
        <v>44</v>
      </c>
      <c r="E85" t="s">
        <v>49</v>
      </c>
      <c r="F85">
        <v>2878</v>
      </c>
      <c r="G85">
        <v>248</v>
      </c>
      <c r="H85">
        <v>416</v>
      </c>
      <c r="I85">
        <v>43170</v>
      </c>
      <c r="J85">
        <v>42667</v>
      </c>
      <c r="K85">
        <v>75</v>
      </c>
      <c r="L85">
        <f>SUM(Table2_1[[#This Row],[Likes]:[Comments]])</f>
        <v>3542</v>
      </c>
      <c r="M85" t="s">
        <v>51</v>
      </c>
      <c r="N85" t="s">
        <v>28</v>
      </c>
      <c r="O85" s="67">
        <v>8.2047718322909427E-2</v>
      </c>
      <c r="P85" t="s">
        <v>394</v>
      </c>
      <c r="Q85" t="s">
        <v>51</v>
      </c>
    </row>
    <row r="86" spans="1:17" x14ac:dyDescent="0.3">
      <c r="A86" t="s">
        <v>63</v>
      </c>
      <c r="B86" t="s">
        <v>30</v>
      </c>
      <c r="C86" s="48">
        <v>45523</v>
      </c>
      <c r="D86" t="s">
        <v>15</v>
      </c>
      <c r="E86" t="s">
        <v>64</v>
      </c>
      <c r="F86">
        <v>3000</v>
      </c>
      <c r="G86">
        <v>382</v>
      </c>
      <c r="H86">
        <v>325</v>
      </c>
      <c r="I86">
        <v>36000</v>
      </c>
      <c r="J86">
        <v>35819</v>
      </c>
      <c r="K86">
        <v>19</v>
      </c>
      <c r="L86">
        <f>SUM(Table2_1[[#This Row],[Likes]:[Comments]])</f>
        <v>3707</v>
      </c>
      <c r="M86" t="s">
        <v>51</v>
      </c>
      <c r="N86" t="s">
        <v>18</v>
      </c>
      <c r="O86" s="67">
        <v>0.10297222222222223</v>
      </c>
      <c r="P86" t="s">
        <v>394</v>
      </c>
      <c r="Q86" t="s">
        <v>51</v>
      </c>
    </row>
    <row r="87" spans="1:17" x14ac:dyDescent="0.3">
      <c r="A87" t="s">
        <v>300</v>
      </c>
      <c r="B87" t="s">
        <v>38</v>
      </c>
      <c r="C87" s="48">
        <v>45523</v>
      </c>
      <c r="D87" t="s">
        <v>20</v>
      </c>
      <c r="E87" t="s">
        <v>47</v>
      </c>
      <c r="F87">
        <v>1257</v>
      </c>
      <c r="G87">
        <v>19</v>
      </c>
      <c r="H87">
        <v>351</v>
      </c>
      <c r="I87">
        <v>12570</v>
      </c>
      <c r="J87">
        <v>11660</v>
      </c>
      <c r="K87">
        <v>194</v>
      </c>
      <c r="L87">
        <f>SUM(Table2_1[[#This Row],[Likes]:[Comments]])</f>
        <v>1627</v>
      </c>
      <c r="M87" t="s">
        <v>301</v>
      </c>
      <c r="N87" t="s">
        <v>23</v>
      </c>
      <c r="O87" s="67">
        <v>0.12943516308671441</v>
      </c>
      <c r="P87" t="s">
        <v>394</v>
      </c>
      <c r="Q87" t="s">
        <v>51</v>
      </c>
    </row>
    <row r="88" spans="1:17" x14ac:dyDescent="0.3">
      <c r="A88" t="s">
        <v>300</v>
      </c>
      <c r="B88" t="s">
        <v>38</v>
      </c>
      <c r="C88" s="48">
        <v>45523</v>
      </c>
      <c r="D88" t="s">
        <v>20</v>
      </c>
      <c r="E88" t="s">
        <v>47</v>
      </c>
      <c r="F88">
        <v>1257</v>
      </c>
      <c r="G88">
        <v>19</v>
      </c>
      <c r="H88">
        <v>351</v>
      </c>
      <c r="I88">
        <v>12570</v>
      </c>
      <c r="J88">
        <v>11660</v>
      </c>
      <c r="K88">
        <v>194</v>
      </c>
      <c r="L88">
        <f>SUM(Table2_1[[#This Row],[Likes]:[Comments]])</f>
        <v>1627</v>
      </c>
      <c r="M88" t="s">
        <v>301</v>
      </c>
      <c r="N88" t="s">
        <v>23</v>
      </c>
      <c r="O88" s="67">
        <v>0.12943516308671441</v>
      </c>
      <c r="P88" t="s">
        <v>395</v>
      </c>
      <c r="Q88" t="s">
        <v>392</v>
      </c>
    </row>
    <row r="89" spans="1:17" x14ac:dyDescent="0.3">
      <c r="A89" t="s">
        <v>300</v>
      </c>
      <c r="B89" t="s">
        <v>38</v>
      </c>
      <c r="C89" s="48">
        <v>45523</v>
      </c>
      <c r="D89" t="s">
        <v>20</v>
      </c>
      <c r="E89" t="s">
        <v>47</v>
      </c>
      <c r="F89">
        <v>1257</v>
      </c>
      <c r="G89">
        <v>19</v>
      </c>
      <c r="H89">
        <v>351</v>
      </c>
      <c r="I89">
        <v>12570</v>
      </c>
      <c r="J89">
        <v>11660</v>
      </c>
      <c r="K89">
        <v>194</v>
      </c>
      <c r="L89">
        <f>SUM(Table2_1[[#This Row],[Likes]:[Comments]])</f>
        <v>1627</v>
      </c>
      <c r="M89" t="s">
        <v>301</v>
      </c>
      <c r="N89" t="s">
        <v>23</v>
      </c>
      <c r="O89" s="67">
        <v>0.12943516308671441</v>
      </c>
      <c r="P89" t="s">
        <v>396</v>
      </c>
      <c r="Q89" t="s">
        <v>33</v>
      </c>
    </row>
    <row r="90" spans="1:17" x14ac:dyDescent="0.3">
      <c r="A90" t="s">
        <v>331</v>
      </c>
      <c r="B90" t="s">
        <v>30</v>
      </c>
      <c r="C90" s="48">
        <v>45524</v>
      </c>
      <c r="D90" t="s">
        <v>15</v>
      </c>
      <c r="E90" t="s">
        <v>64</v>
      </c>
      <c r="F90">
        <v>2603</v>
      </c>
      <c r="G90">
        <v>690</v>
      </c>
      <c r="H90">
        <v>205</v>
      </c>
      <c r="I90">
        <v>13015</v>
      </c>
      <c r="J90">
        <v>12130</v>
      </c>
      <c r="K90">
        <v>20</v>
      </c>
      <c r="L90">
        <f>SUM(Table2_1[[#This Row],[Likes]:[Comments]])</f>
        <v>3498</v>
      </c>
      <c r="M90" t="s">
        <v>51</v>
      </c>
      <c r="N90" t="s">
        <v>23</v>
      </c>
      <c r="O90" s="67">
        <v>0.26876680752977333</v>
      </c>
      <c r="P90" t="s">
        <v>394</v>
      </c>
      <c r="Q90" t="s">
        <v>51</v>
      </c>
    </row>
    <row r="91" spans="1:17" x14ac:dyDescent="0.3">
      <c r="A91" t="s">
        <v>84</v>
      </c>
      <c r="B91" t="s">
        <v>38</v>
      </c>
      <c r="C91" s="48">
        <v>45525</v>
      </c>
      <c r="D91" t="s">
        <v>44</v>
      </c>
      <c r="E91" t="s">
        <v>49</v>
      </c>
      <c r="F91">
        <v>1407</v>
      </c>
      <c r="G91">
        <v>400</v>
      </c>
      <c r="H91">
        <v>351</v>
      </c>
      <c r="I91">
        <v>16884</v>
      </c>
      <c r="J91">
        <v>15954</v>
      </c>
      <c r="K91">
        <v>113</v>
      </c>
      <c r="L91">
        <f>SUM(Table2_1[[#This Row],[Likes]:[Comments]])</f>
        <v>2158</v>
      </c>
      <c r="M91" t="s">
        <v>27</v>
      </c>
      <c r="N91" t="s">
        <v>18</v>
      </c>
      <c r="O91" s="67">
        <v>0.12781331438047855</v>
      </c>
      <c r="P91" t="s">
        <v>394</v>
      </c>
      <c r="Q91" t="s">
        <v>27</v>
      </c>
    </row>
    <row r="92" spans="1:17" x14ac:dyDescent="0.3">
      <c r="A92" t="s">
        <v>212</v>
      </c>
      <c r="B92" t="s">
        <v>25</v>
      </c>
      <c r="C92" s="48">
        <v>45526</v>
      </c>
      <c r="D92" t="s">
        <v>39</v>
      </c>
      <c r="E92" t="s">
        <v>55</v>
      </c>
      <c r="F92">
        <v>4295</v>
      </c>
      <c r="G92">
        <v>853</v>
      </c>
      <c r="H92">
        <v>325</v>
      </c>
      <c r="I92">
        <v>85900</v>
      </c>
      <c r="J92">
        <v>85788</v>
      </c>
      <c r="K92">
        <v>290</v>
      </c>
      <c r="L92">
        <f>SUM(Table2_1[[#This Row],[Likes]:[Comments]])</f>
        <v>5473</v>
      </c>
      <c r="M92" t="s">
        <v>27</v>
      </c>
      <c r="N92" t="s">
        <v>34</v>
      </c>
      <c r="O92" s="67">
        <v>6.3713620488940623E-2</v>
      </c>
      <c r="P92" t="s">
        <v>394</v>
      </c>
      <c r="Q92" t="s">
        <v>27</v>
      </c>
    </row>
    <row r="93" spans="1:17" x14ac:dyDescent="0.3">
      <c r="A93" t="s">
        <v>222</v>
      </c>
      <c r="B93" t="s">
        <v>14</v>
      </c>
      <c r="C93" s="48">
        <v>45528</v>
      </c>
      <c r="D93" t="s">
        <v>59</v>
      </c>
      <c r="E93" t="s">
        <v>99</v>
      </c>
      <c r="F93">
        <v>1082</v>
      </c>
      <c r="G93">
        <v>209</v>
      </c>
      <c r="H93">
        <v>484</v>
      </c>
      <c r="I93">
        <v>19476</v>
      </c>
      <c r="J93">
        <v>18654</v>
      </c>
      <c r="K93">
        <v>20</v>
      </c>
      <c r="L93">
        <f>SUM(Table2_1[[#This Row],[Likes]:[Comments]])</f>
        <v>1775</v>
      </c>
      <c r="M93" t="s">
        <v>27</v>
      </c>
      <c r="N93" t="s">
        <v>397</v>
      </c>
      <c r="O93" s="67">
        <v>9.1137810638734856E-2</v>
      </c>
      <c r="P93" t="s">
        <v>394</v>
      </c>
      <c r="Q93" t="s">
        <v>27</v>
      </c>
    </row>
    <row r="94" spans="1:17" x14ac:dyDescent="0.3">
      <c r="A94" t="s">
        <v>248</v>
      </c>
      <c r="B94" t="s">
        <v>38</v>
      </c>
      <c r="C94" s="48">
        <v>45528</v>
      </c>
      <c r="D94" t="s">
        <v>39</v>
      </c>
      <c r="E94" t="s">
        <v>40</v>
      </c>
      <c r="F94">
        <v>4292</v>
      </c>
      <c r="G94">
        <v>51</v>
      </c>
      <c r="H94">
        <v>392</v>
      </c>
      <c r="I94">
        <v>55796</v>
      </c>
      <c r="J94">
        <v>54826</v>
      </c>
      <c r="K94">
        <v>264</v>
      </c>
      <c r="L94">
        <f>SUM(Table2_1[[#This Row],[Likes]:[Comments]])</f>
        <v>4735</v>
      </c>
      <c r="M94" t="s">
        <v>33</v>
      </c>
      <c r="N94" t="s">
        <v>28</v>
      </c>
      <c r="O94" s="67">
        <v>8.4862714173059003E-2</v>
      </c>
      <c r="P94" t="s">
        <v>394</v>
      </c>
      <c r="Q94" t="s">
        <v>33</v>
      </c>
    </row>
    <row r="95" spans="1:17" x14ac:dyDescent="0.3">
      <c r="A95" t="s">
        <v>61</v>
      </c>
      <c r="B95" t="s">
        <v>38</v>
      </c>
      <c r="C95" s="48">
        <v>45530</v>
      </c>
      <c r="D95" t="s">
        <v>20</v>
      </c>
      <c r="E95" t="s">
        <v>47</v>
      </c>
      <c r="F95">
        <v>3452</v>
      </c>
      <c r="G95">
        <v>377</v>
      </c>
      <c r="H95">
        <v>360</v>
      </c>
      <c r="I95">
        <v>55232</v>
      </c>
      <c r="J95">
        <v>55075</v>
      </c>
      <c r="K95">
        <v>87</v>
      </c>
      <c r="L95">
        <f>SUM(Table2_1[[#This Row],[Likes]:[Comments]])</f>
        <v>4189</v>
      </c>
      <c r="M95" t="s">
        <v>51</v>
      </c>
      <c r="N95" t="s">
        <v>28</v>
      </c>
      <c r="O95" s="67">
        <v>7.5843713789107758E-2</v>
      </c>
      <c r="P95" t="s">
        <v>394</v>
      </c>
      <c r="Q95" t="s">
        <v>51</v>
      </c>
    </row>
    <row r="96" spans="1:17" x14ac:dyDescent="0.3">
      <c r="A96" t="s">
        <v>305</v>
      </c>
      <c r="B96" t="s">
        <v>14</v>
      </c>
      <c r="C96" s="48">
        <v>45530</v>
      </c>
      <c r="D96" t="s">
        <v>39</v>
      </c>
      <c r="E96" t="s">
        <v>42</v>
      </c>
      <c r="F96">
        <v>929</v>
      </c>
      <c r="G96">
        <v>192</v>
      </c>
      <c r="H96">
        <v>322</v>
      </c>
      <c r="I96">
        <v>16722</v>
      </c>
      <c r="J96">
        <v>15996</v>
      </c>
      <c r="K96">
        <v>145</v>
      </c>
      <c r="L96">
        <f>SUM(Table2_1[[#This Row],[Likes]:[Comments]])</f>
        <v>1443</v>
      </c>
      <c r="M96" t="s">
        <v>117</v>
      </c>
      <c r="N96" t="s">
        <v>28</v>
      </c>
      <c r="O96" s="67">
        <v>8.6293505561535699E-2</v>
      </c>
      <c r="P96" t="s">
        <v>394</v>
      </c>
      <c r="Q96" t="s">
        <v>33</v>
      </c>
    </row>
    <row r="97" spans="1:17" x14ac:dyDescent="0.3">
      <c r="A97" t="s">
        <v>305</v>
      </c>
      <c r="B97" t="s">
        <v>14</v>
      </c>
      <c r="C97" s="48">
        <v>45530</v>
      </c>
      <c r="D97" t="s">
        <v>39</v>
      </c>
      <c r="E97" t="s">
        <v>42</v>
      </c>
      <c r="F97">
        <v>929</v>
      </c>
      <c r="G97">
        <v>192</v>
      </c>
      <c r="H97">
        <v>322</v>
      </c>
      <c r="I97">
        <v>16722</v>
      </c>
      <c r="J97">
        <v>15996</v>
      </c>
      <c r="K97">
        <v>145</v>
      </c>
      <c r="L97">
        <f>SUM(Table2_1[[#This Row],[Likes]:[Comments]])</f>
        <v>1443</v>
      </c>
      <c r="M97" t="s">
        <v>117</v>
      </c>
      <c r="N97" t="s">
        <v>28</v>
      </c>
      <c r="O97" s="67">
        <v>8.6293505561535699E-2</v>
      </c>
      <c r="P97" t="s">
        <v>395</v>
      </c>
      <c r="Q97" t="s">
        <v>27</v>
      </c>
    </row>
    <row r="98" spans="1:17" x14ac:dyDescent="0.3">
      <c r="A98" t="s">
        <v>305</v>
      </c>
      <c r="B98" t="s">
        <v>14</v>
      </c>
      <c r="C98" s="48">
        <v>45530</v>
      </c>
      <c r="D98" t="s">
        <v>39</v>
      </c>
      <c r="E98" t="s">
        <v>42</v>
      </c>
      <c r="F98">
        <v>929</v>
      </c>
      <c r="G98">
        <v>192</v>
      </c>
      <c r="H98">
        <v>322</v>
      </c>
      <c r="I98">
        <v>16722</v>
      </c>
      <c r="J98">
        <v>15996</v>
      </c>
      <c r="K98">
        <v>145</v>
      </c>
      <c r="L98">
        <f>SUM(Table2_1[[#This Row],[Likes]:[Comments]])</f>
        <v>1443</v>
      </c>
      <c r="M98" t="s">
        <v>117</v>
      </c>
      <c r="N98" t="s">
        <v>28</v>
      </c>
      <c r="O98" s="67">
        <v>8.6293505561535699E-2</v>
      </c>
      <c r="P98" t="s">
        <v>396</v>
      </c>
      <c r="Q98" t="s">
        <v>392</v>
      </c>
    </row>
    <row r="99" spans="1:17" x14ac:dyDescent="0.3">
      <c r="A99" t="s">
        <v>367</v>
      </c>
      <c r="B99" t="s">
        <v>38</v>
      </c>
      <c r="C99" s="48">
        <v>45530</v>
      </c>
      <c r="D99" t="s">
        <v>44</v>
      </c>
      <c r="E99" t="s">
        <v>49</v>
      </c>
      <c r="F99">
        <v>2581</v>
      </c>
      <c r="G99">
        <v>517</v>
      </c>
      <c r="H99">
        <v>117</v>
      </c>
      <c r="I99">
        <v>23229</v>
      </c>
      <c r="J99">
        <v>22331</v>
      </c>
      <c r="K99">
        <v>70</v>
      </c>
      <c r="L99">
        <f>SUM(Table2_1[[#This Row],[Likes]:[Comments]])</f>
        <v>3215</v>
      </c>
      <c r="M99" t="s">
        <v>51</v>
      </c>
      <c r="N99" t="s">
        <v>28</v>
      </c>
      <c r="O99" s="67">
        <v>0.13840458048129492</v>
      </c>
      <c r="P99" t="s">
        <v>394</v>
      </c>
      <c r="Q99" t="s">
        <v>51</v>
      </c>
    </row>
    <row r="100" spans="1:17" x14ac:dyDescent="0.3">
      <c r="A100" t="s">
        <v>312</v>
      </c>
      <c r="B100" t="s">
        <v>38</v>
      </c>
      <c r="C100" s="48">
        <v>45531</v>
      </c>
      <c r="D100" t="s">
        <v>15</v>
      </c>
      <c r="E100" t="s">
        <v>53</v>
      </c>
      <c r="F100">
        <v>3960</v>
      </c>
      <c r="G100">
        <v>266</v>
      </c>
      <c r="H100">
        <v>8</v>
      </c>
      <c r="I100">
        <v>35640</v>
      </c>
      <c r="J100">
        <v>34850</v>
      </c>
      <c r="K100">
        <v>208</v>
      </c>
      <c r="L100">
        <f>SUM(Table2_1[[#This Row],[Likes]:[Comments]])</f>
        <v>4234</v>
      </c>
      <c r="M100" t="s">
        <v>313</v>
      </c>
      <c r="N100" t="s">
        <v>397</v>
      </c>
      <c r="O100" s="67">
        <v>0.11879910213243547</v>
      </c>
      <c r="P100" t="s">
        <v>394</v>
      </c>
      <c r="Q100" t="s">
        <v>51</v>
      </c>
    </row>
    <row r="101" spans="1:17" x14ac:dyDescent="0.3">
      <c r="A101" t="s">
        <v>312</v>
      </c>
      <c r="B101" t="s">
        <v>38</v>
      </c>
      <c r="C101" s="48">
        <v>45531</v>
      </c>
      <c r="D101" t="s">
        <v>15</v>
      </c>
      <c r="E101" t="s">
        <v>53</v>
      </c>
      <c r="F101">
        <v>3960</v>
      </c>
      <c r="G101">
        <v>266</v>
      </c>
      <c r="H101">
        <v>8</v>
      </c>
      <c r="I101">
        <v>35640</v>
      </c>
      <c r="J101">
        <v>34850</v>
      </c>
      <c r="K101">
        <v>208</v>
      </c>
      <c r="L101">
        <f>SUM(Table2_1[[#This Row],[Likes]:[Comments]])</f>
        <v>4234</v>
      </c>
      <c r="M101" t="s">
        <v>313</v>
      </c>
      <c r="N101" t="s">
        <v>397</v>
      </c>
      <c r="O101" s="67">
        <v>0.11879910213243547</v>
      </c>
      <c r="P101" t="s">
        <v>395</v>
      </c>
      <c r="Q101" t="s">
        <v>33</v>
      </c>
    </row>
    <row r="102" spans="1:17" x14ac:dyDescent="0.3">
      <c r="A102" t="s">
        <v>312</v>
      </c>
      <c r="B102" t="s">
        <v>38</v>
      </c>
      <c r="C102" s="48">
        <v>45531</v>
      </c>
      <c r="D102" t="s">
        <v>15</v>
      </c>
      <c r="E102" t="s">
        <v>53</v>
      </c>
      <c r="F102">
        <v>3960</v>
      </c>
      <c r="G102">
        <v>266</v>
      </c>
      <c r="H102">
        <v>8</v>
      </c>
      <c r="I102">
        <v>35640</v>
      </c>
      <c r="J102">
        <v>34850</v>
      </c>
      <c r="K102">
        <v>208</v>
      </c>
      <c r="L102">
        <f>SUM(Table2_1[[#This Row],[Likes]:[Comments]])</f>
        <v>4234</v>
      </c>
      <c r="M102" t="s">
        <v>313</v>
      </c>
      <c r="N102" t="s">
        <v>397</v>
      </c>
      <c r="O102" s="67">
        <v>0.11879910213243547</v>
      </c>
      <c r="P102" t="s">
        <v>396</v>
      </c>
      <c r="Q102" t="s">
        <v>393</v>
      </c>
    </row>
    <row r="103" spans="1:17" x14ac:dyDescent="0.3">
      <c r="A103" t="s">
        <v>46</v>
      </c>
      <c r="B103" t="s">
        <v>38</v>
      </c>
      <c r="C103" s="48">
        <v>45534</v>
      </c>
      <c r="D103" t="s">
        <v>20</v>
      </c>
      <c r="E103" t="s">
        <v>47</v>
      </c>
      <c r="F103">
        <v>3784</v>
      </c>
      <c r="G103">
        <v>808</v>
      </c>
      <c r="H103">
        <v>404</v>
      </c>
      <c r="I103">
        <v>56760</v>
      </c>
      <c r="J103">
        <v>56343</v>
      </c>
      <c r="K103">
        <v>131</v>
      </c>
      <c r="L103">
        <f>SUM(Table2_1[[#This Row],[Likes]:[Comments]])</f>
        <v>4996</v>
      </c>
      <c r="M103" t="s">
        <v>27</v>
      </c>
      <c r="N103" t="s">
        <v>23</v>
      </c>
      <c r="O103" s="67">
        <v>8.8019732205778717E-2</v>
      </c>
      <c r="P103" t="s">
        <v>394</v>
      </c>
      <c r="Q103" t="s">
        <v>27</v>
      </c>
    </row>
    <row r="104" spans="1:17" x14ac:dyDescent="0.3">
      <c r="A104" t="s">
        <v>202</v>
      </c>
      <c r="B104" t="s">
        <v>14</v>
      </c>
      <c r="C104" s="48">
        <v>45535</v>
      </c>
      <c r="D104" t="s">
        <v>44</v>
      </c>
      <c r="E104" t="s">
        <v>92</v>
      </c>
      <c r="F104">
        <v>3170</v>
      </c>
      <c r="G104">
        <v>857</v>
      </c>
      <c r="H104">
        <v>379</v>
      </c>
      <c r="I104">
        <v>19020</v>
      </c>
      <c r="J104">
        <v>18559</v>
      </c>
      <c r="K104">
        <v>240</v>
      </c>
      <c r="L104">
        <f>SUM(Table2_1[[#This Row],[Likes]:[Comments]])</f>
        <v>4406</v>
      </c>
      <c r="M104" t="s">
        <v>51</v>
      </c>
      <c r="N104" t="s">
        <v>397</v>
      </c>
      <c r="O104" s="67">
        <v>0.2316508937960042</v>
      </c>
      <c r="P104" t="s">
        <v>394</v>
      </c>
      <c r="Q104" t="s">
        <v>51</v>
      </c>
    </row>
    <row r="105" spans="1:17" x14ac:dyDescent="0.3">
      <c r="A105" t="s">
        <v>368</v>
      </c>
      <c r="B105" t="s">
        <v>14</v>
      </c>
      <c r="C105" s="48">
        <v>45535</v>
      </c>
      <c r="D105" t="s">
        <v>39</v>
      </c>
      <c r="E105" t="s">
        <v>42</v>
      </c>
      <c r="F105">
        <v>4494</v>
      </c>
      <c r="G105">
        <v>717</v>
      </c>
      <c r="H105">
        <v>45</v>
      </c>
      <c r="I105">
        <v>62916</v>
      </c>
      <c r="J105">
        <v>62688</v>
      </c>
      <c r="K105">
        <v>191</v>
      </c>
      <c r="L105">
        <f>SUM(Table2_1[[#This Row],[Likes]:[Comments]])</f>
        <v>5256</v>
      </c>
      <c r="M105" t="s">
        <v>328</v>
      </c>
      <c r="N105" t="s">
        <v>18</v>
      </c>
      <c r="O105" s="67">
        <v>8.3539958039290485E-2</v>
      </c>
      <c r="P105" t="s">
        <v>394</v>
      </c>
      <c r="Q105" t="s">
        <v>27</v>
      </c>
    </row>
    <row r="106" spans="1:17" x14ac:dyDescent="0.3">
      <c r="A106" t="s">
        <v>368</v>
      </c>
      <c r="B106" t="s">
        <v>14</v>
      </c>
      <c r="C106" s="48">
        <v>45535</v>
      </c>
      <c r="D106" t="s">
        <v>39</v>
      </c>
      <c r="E106" t="s">
        <v>42</v>
      </c>
      <c r="F106">
        <v>4494</v>
      </c>
      <c r="G106">
        <v>717</v>
      </c>
      <c r="H106">
        <v>45</v>
      </c>
      <c r="I106">
        <v>62916</v>
      </c>
      <c r="J106">
        <v>62688</v>
      </c>
      <c r="K106">
        <v>191</v>
      </c>
      <c r="L106">
        <f>SUM(Table2_1[[#This Row],[Likes]:[Comments]])</f>
        <v>5256</v>
      </c>
      <c r="M106" t="s">
        <v>328</v>
      </c>
      <c r="N106" t="s">
        <v>18</v>
      </c>
      <c r="O106" s="67">
        <v>8.3539958039290485E-2</v>
      </c>
      <c r="P106" t="s">
        <v>395</v>
      </c>
      <c r="Q106" t="s">
        <v>33</v>
      </c>
    </row>
    <row r="107" spans="1:17" x14ac:dyDescent="0.3">
      <c r="A107" t="s">
        <v>368</v>
      </c>
      <c r="B107" t="s">
        <v>14</v>
      </c>
      <c r="C107" s="48">
        <v>45535</v>
      </c>
      <c r="D107" t="s">
        <v>39</v>
      </c>
      <c r="E107" t="s">
        <v>42</v>
      </c>
      <c r="F107">
        <v>4494</v>
      </c>
      <c r="G107">
        <v>717</v>
      </c>
      <c r="H107">
        <v>45</v>
      </c>
      <c r="I107">
        <v>62916</v>
      </c>
      <c r="J107">
        <v>62688</v>
      </c>
      <c r="K107">
        <v>191</v>
      </c>
      <c r="L107">
        <f>SUM(Table2_1[[#This Row],[Likes]:[Comments]])</f>
        <v>5256</v>
      </c>
      <c r="M107" t="s">
        <v>328</v>
      </c>
      <c r="N107" t="s">
        <v>18</v>
      </c>
      <c r="O107" s="67">
        <v>8.3539958039290485E-2</v>
      </c>
      <c r="P107" t="s">
        <v>396</v>
      </c>
      <c r="Q107" t="s">
        <v>393</v>
      </c>
    </row>
    <row r="108" spans="1:17" x14ac:dyDescent="0.3">
      <c r="A108" t="s">
        <v>128</v>
      </c>
      <c r="B108" t="s">
        <v>25</v>
      </c>
      <c r="C108" s="48">
        <v>45537</v>
      </c>
      <c r="D108" t="s">
        <v>39</v>
      </c>
      <c r="E108" t="s">
        <v>55</v>
      </c>
      <c r="F108">
        <v>2551</v>
      </c>
      <c r="G108">
        <v>915</v>
      </c>
      <c r="H108">
        <v>205</v>
      </c>
      <c r="I108">
        <v>30612</v>
      </c>
      <c r="J108">
        <v>30360</v>
      </c>
      <c r="K108">
        <v>227</v>
      </c>
      <c r="L108">
        <f>SUM(Table2_1[[#This Row],[Likes]:[Comments]])</f>
        <v>3671</v>
      </c>
      <c r="M108" t="s">
        <v>27</v>
      </c>
      <c r="N108" t="s">
        <v>23</v>
      </c>
      <c r="O108" s="67">
        <v>0.1199202926956749</v>
      </c>
      <c r="P108" t="s">
        <v>394</v>
      </c>
      <c r="Q108" t="s">
        <v>27</v>
      </c>
    </row>
    <row r="109" spans="1:17" x14ac:dyDescent="0.3">
      <c r="A109" t="s">
        <v>347</v>
      </c>
      <c r="B109" t="s">
        <v>25</v>
      </c>
      <c r="C109" s="48">
        <v>45537</v>
      </c>
      <c r="D109" t="s">
        <v>44</v>
      </c>
      <c r="E109" t="s">
        <v>45</v>
      </c>
      <c r="F109">
        <v>4905</v>
      </c>
      <c r="G109">
        <v>845</v>
      </c>
      <c r="H109">
        <v>129</v>
      </c>
      <c r="I109">
        <v>98100</v>
      </c>
      <c r="J109">
        <v>97772</v>
      </c>
      <c r="K109">
        <v>279</v>
      </c>
      <c r="L109">
        <f>SUM(Table2_1[[#This Row],[Likes]:[Comments]])</f>
        <v>5879</v>
      </c>
      <c r="M109" t="s">
        <v>27</v>
      </c>
      <c r="N109" t="s">
        <v>23</v>
      </c>
      <c r="O109" s="67">
        <v>5.9928644240570844E-2</v>
      </c>
      <c r="P109" t="s">
        <v>394</v>
      </c>
      <c r="Q109" t="s">
        <v>27</v>
      </c>
    </row>
    <row r="110" spans="1:17" x14ac:dyDescent="0.3">
      <c r="A110" t="s">
        <v>118</v>
      </c>
      <c r="B110" t="s">
        <v>14</v>
      </c>
      <c r="C110" s="48">
        <v>45540</v>
      </c>
      <c r="D110" t="s">
        <v>59</v>
      </c>
      <c r="E110" t="s">
        <v>99</v>
      </c>
      <c r="F110">
        <v>4886</v>
      </c>
      <c r="G110">
        <v>983</v>
      </c>
      <c r="H110">
        <v>409</v>
      </c>
      <c r="I110">
        <v>43974</v>
      </c>
      <c r="J110">
        <v>43239</v>
      </c>
      <c r="K110">
        <v>65</v>
      </c>
      <c r="L110">
        <f>SUM(Table2_1[[#This Row],[Likes]:[Comments]])</f>
        <v>6278</v>
      </c>
      <c r="M110" t="s">
        <v>27</v>
      </c>
      <c r="N110" t="s">
        <v>18</v>
      </c>
      <c r="O110" s="67">
        <v>0.14276618001546368</v>
      </c>
      <c r="P110" t="s">
        <v>394</v>
      </c>
      <c r="Q110" t="s">
        <v>27</v>
      </c>
    </row>
    <row r="111" spans="1:17" x14ac:dyDescent="0.3">
      <c r="A111" t="s">
        <v>185</v>
      </c>
      <c r="B111" t="s">
        <v>14</v>
      </c>
      <c r="C111" s="48">
        <v>45543</v>
      </c>
      <c r="D111" t="s">
        <v>39</v>
      </c>
      <c r="E111" t="s">
        <v>42</v>
      </c>
      <c r="F111">
        <v>3811</v>
      </c>
      <c r="G111">
        <v>866</v>
      </c>
      <c r="H111">
        <v>216</v>
      </c>
      <c r="I111">
        <v>34299</v>
      </c>
      <c r="J111">
        <v>34088</v>
      </c>
      <c r="K111">
        <v>233</v>
      </c>
      <c r="L111">
        <f>SUM(Table2_1[[#This Row],[Likes]:[Comments]])</f>
        <v>4893</v>
      </c>
      <c r="M111" t="s">
        <v>27</v>
      </c>
      <c r="N111" t="s">
        <v>34</v>
      </c>
      <c r="O111" s="67">
        <v>0.14265722032712325</v>
      </c>
      <c r="P111" t="s">
        <v>394</v>
      </c>
      <c r="Q111" t="s">
        <v>27</v>
      </c>
    </row>
    <row r="112" spans="1:17" x14ac:dyDescent="0.3">
      <c r="A112" t="s">
        <v>67</v>
      </c>
      <c r="B112" t="s">
        <v>30</v>
      </c>
      <c r="C112" s="48">
        <v>45544</v>
      </c>
      <c r="D112" t="s">
        <v>39</v>
      </c>
      <c r="E112" t="s">
        <v>68</v>
      </c>
      <c r="F112">
        <v>4054</v>
      </c>
      <c r="G112">
        <v>488</v>
      </c>
      <c r="H112">
        <v>373</v>
      </c>
      <c r="I112">
        <v>77026</v>
      </c>
      <c r="J112">
        <v>76881</v>
      </c>
      <c r="K112">
        <v>25</v>
      </c>
      <c r="L112">
        <f>SUM(Table2_1[[#This Row],[Likes]:[Comments]])</f>
        <v>4915</v>
      </c>
      <c r="M112" t="s">
        <v>27</v>
      </c>
      <c r="N112" t="s">
        <v>18</v>
      </c>
      <c r="O112" s="67">
        <v>6.3809622724794221E-2</v>
      </c>
      <c r="P112" t="s">
        <v>394</v>
      </c>
      <c r="Q112" t="s">
        <v>27</v>
      </c>
    </row>
    <row r="113" spans="1:17" x14ac:dyDescent="0.3">
      <c r="A113" t="s">
        <v>156</v>
      </c>
      <c r="B113" t="s">
        <v>14</v>
      </c>
      <c r="C113" s="48">
        <v>45545</v>
      </c>
      <c r="D113" t="s">
        <v>44</v>
      </c>
      <c r="E113" t="s">
        <v>92</v>
      </c>
      <c r="F113">
        <v>1238</v>
      </c>
      <c r="G113">
        <v>366</v>
      </c>
      <c r="H113">
        <v>444</v>
      </c>
      <c r="I113">
        <v>19808</v>
      </c>
      <c r="J113">
        <v>19334</v>
      </c>
      <c r="K113">
        <v>123</v>
      </c>
      <c r="L113">
        <f>SUM(Table2_1[[#This Row],[Likes]:[Comments]])</f>
        <v>2048</v>
      </c>
      <c r="M113" t="s">
        <v>51</v>
      </c>
      <c r="N113" t="s">
        <v>397</v>
      </c>
      <c r="O113" s="67">
        <v>0.10339256865912763</v>
      </c>
      <c r="P113" t="s">
        <v>394</v>
      </c>
      <c r="Q113" t="s">
        <v>51</v>
      </c>
    </row>
    <row r="114" spans="1:17" x14ac:dyDescent="0.3">
      <c r="A114" t="s">
        <v>255</v>
      </c>
      <c r="B114" t="s">
        <v>14</v>
      </c>
      <c r="C114" s="48">
        <v>45546</v>
      </c>
      <c r="D114" t="s">
        <v>44</v>
      </c>
      <c r="E114" t="s">
        <v>92</v>
      </c>
      <c r="F114">
        <v>4858</v>
      </c>
      <c r="G114">
        <v>317</v>
      </c>
      <c r="H114">
        <v>129</v>
      </c>
      <c r="I114">
        <v>53438</v>
      </c>
      <c r="J114">
        <v>52687</v>
      </c>
      <c r="K114">
        <v>223</v>
      </c>
      <c r="L114">
        <f>SUM(Table2_1[[#This Row],[Likes]:[Comments]])</f>
        <v>5304</v>
      </c>
      <c r="M114" t="s">
        <v>33</v>
      </c>
      <c r="N114" t="s">
        <v>28</v>
      </c>
      <c r="O114" s="67">
        <v>9.9255211647142488E-2</v>
      </c>
      <c r="P114" t="s">
        <v>394</v>
      </c>
      <c r="Q114" t="s">
        <v>33</v>
      </c>
    </row>
    <row r="115" spans="1:17" x14ac:dyDescent="0.3">
      <c r="A115" t="s">
        <v>260</v>
      </c>
      <c r="B115" t="s">
        <v>14</v>
      </c>
      <c r="C115" s="48">
        <v>45549</v>
      </c>
      <c r="D115" t="s">
        <v>44</v>
      </c>
      <c r="E115" t="s">
        <v>92</v>
      </c>
      <c r="F115">
        <v>1048</v>
      </c>
      <c r="G115">
        <v>374</v>
      </c>
      <c r="H115">
        <v>450</v>
      </c>
      <c r="I115">
        <v>9432</v>
      </c>
      <c r="J115">
        <v>8882</v>
      </c>
      <c r="K115">
        <v>158</v>
      </c>
      <c r="L115">
        <f>SUM(Table2_1[[#This Row],[Likes]:[Comments]])</f>
        <v>1872</v>
      </c>
      <c r="M115" t="s">
        <v>27</v>
      </c>
      <c r="N115" t="s">
        <v>28</v>
      </c>
      <c r="O115" s="67">
        <v>0.19847328244274809</v>
      </c>
      <c r="P115" t="s">
        <v>394</v>
      </c>
      <c r="Q115" t="s">
        <v>27</v>
      </c>
    </row>
    <row r="116" spans="1:17" x14ac:dyDescent="0.3">
      <c r="A116" t="s">
        <v>76</v>
      </c>
      <c r="B116" t="s">
        <v>25</v>
      </c>
      <c r="C116" s="48">
        <v>45552</v>
      </c>
      <c r="D116" t="s">
        <v>20</v>
      </c>
      <c r="E116" t="s">
        <v>77</v>
      </c>
      <c r="F116">
        <v>2076</v>
      </c>
      <c r="G116">
        <v>195</v>
      </c>
      <c r="H116">
        <v>104</v>
      </c>
      <c r="I116">
        <v>33216</v>
      </c>
      <c r="J116">
        <v>32244</v>
      </c>
      <c r="K116">
        <v>51</v>
      </c>
      <c r="L116">
        <f>SUM(Table2_1[[#This Row],[Likes]:[Comments]])</f>
        <v>2375</v>
      </c>
      <c r="M116" t="s">
        <v>51</v>
      </c>
      <c r="N116" t="s">
        <v>34</v>
      </c>
      <c r="O116" s="67">
        <v>7.1501685934489398E-2</v>
      </c>
      <c r="P116" t="s">
        <v>394</v>
      </c>
      <c r="Q116" t="s">
        <v>51</v>
      </c>
    </row>
    <row r="117" spans="1:17" x14ac:dyDescent="0.3">
      <c r="A117" t="s">
        <v>352</v>
      </c>
      <c r="B117" t="s">
        <v>14</v>
      </c>
      <c r="C117" s="48">
        <v>45552</v>
      </c>
      <c r="D117" t="s">
        <v>20</v>
      </c>
      <c r="E117" t="s">
        <v>21</v>
      </c>
      <c r="F117">
        <v>571</v>
      </c>
      <c r="G117">
        <v>190</v>
      </c>
      <c r="H117">
        <v>352</v>
      </c>
      <c r="I117">
        <v>9707</v>
      </c>
      <c r="J117">
        <v>9418</v>
      </c>
      <c r="K117">
        <v>231</v>
      </c>
      <c r="L117">
        <f>SUM(Table2_1[[#This Row],[Likes]:[Comments]])</f>
        <v>1113</v>
      </c>
      <c r="M117" t="s">
        <v>27</v>
      </c>
      <c r="N117" t="s">
        <v>34</v>
      </c>
      <c r="O117" s="67">
        <v>0.11465952405480581</v>
      </c>
      <c r="P117" t="s">
        <v>394</v>
      </c>
      <c r="Q117" t="s">
        <v>27</v>
      </c>
    </row>
    <row r="118" spans="1:17" x14ac:dyDescent="0.3">
      <c r="A118" t="s">
        <v>162</v>
      </c>
      <c r="B118" t="s">
        <v>14</v>
      </c>
      <c r="C118" s="48">
        <v>45553</v>
      </c>
      <c r="D118" t="s">
        <v>15</v>
      </c>
      <c r="E118" t="s">
        <v>16</v>
      </c>
      <c r="F118">
        <v>1000</v>
      </c>
      <c r="G118">
        <v>978</v>
      </c>
      <c r="H118">
        <v>162</v>
      </c>
      <c r="I118">
        <v>6000</v>
      </c>
      <c r="J118">
        <v>5221</v>
      </c>
      <c r="K118">
        <v>223</v>
      </c>
      <c r="L118">
        <f>SUM(Table2_1[[#This Row],[Likes]:[Comments]])</f>
        <v>2140</v>
      </c>
      <c r="M118" t="s">
        <v>33</v>
      </c>
      <c r="N118" t="s">
        <v>23</v>
      </c>
      <c r="O118" s="67">
        <v>0.35666666666666669</v>
      </c>
      <c r="P118" t="s">
        <v>394</v>
      </c>
      <c r="Q118" t="s">
        <v>33</v>
      </c>
    </row>
    <row r="119" spans="1:17" x14ac:dyDescent="0.3">
      <c r="A119" t="s">
        <v>322</v>
      </c>
      <c r="B119" t="s">
        <v>25</v>
      </c>
      <c r="C119" s="48">
        <v>45553</v>
      </c>
      <c r="D119" t="s">
        <v>39</v>
      </c>
      <c r="E119" t="s">
        <v>55</v>
      </c>
      <c r="F119">
        <v>2143</v>
      </c>
      <c r="G119">
        <v>12</v>
      </c>
      <c r="H119">
        <v>204</v>
      </c>
      <c r="I119">
        <v>40717</v>
      </c>
      <c r="J119">
        <v>40125</v>
      </c>
      <c r="K119">
        <v>248</v>
      </c>
      <c r="L119">
        <f>SUM(Table2_1[[#This Row],[Likes]:[Comments]])</f>
        <v>2359</v>
      </c>
      <c r="M119" t="s">
        <v>33</v>
      </c>
      <c r="N119" t="s">
        <v>23</v>
      </c>
      <c r="O119" s="67">
        <v>5.7936488444630008E-2</v>
      </c>
      <c r="P119" t="s">
        <v>394</v>
      </c>
      <c r="Q119" t="s">
        <v>33</v>
      </c>
    </row>
    <row r="120" spans="1:17" x14ac:dyDescent="0.3">
      <c r="A120" t="s">
        <v>354</v>
      </c>
      <c r="B120" t="s">
        <v>25</v>
      </c>
      <c r="C120" s="48">
        <v>45560</v>
      </c>
      <c r="D120" t="s">
        <v>59</v>
      </c>
      <c r="E120" t="s">
        <v>143</v>
      </c>
      <c r="F120">
        <v>3389</v>
      </c>
      <c r="G120">
        <v>344</v>
      </c>
      <c r="H120">
        <v>229</v>
      </c>
      <c r="I120">
        <v>20334</v>
      </c>
      <c r="J120">
        <v>19443</v>
      </c>
      <c r="K120">
        <v>228</v>
      </c>
      <c r="L120">
        <f>SUM(Table2_1[[#This Row],[Likes]:[Comments]])</f>
        <v>3962</v>
      </c>
      <c r="M120" t="s">
        <v>51</v>
      </c>
      <c r="N120" t="s">
        <v>28</v>
      </c>
      <c r="O120" s="67">
        <v>0.19484607062063539</v>
      </c>
      <c r="P120" t="s">
        <v>394</v>
      </c>
      <c r="Q120" t="s">
        <v>51</v>
      </c>
    </row>
    <row r="121" spans="1:17" x14ac:dyDescent="0.3">
      <c r="A121" t="s">
        <v>190</v>
      </c>
      <c r="B121" t="s">
        <v>25</v>
      </c>
      <c r="C121" s="48">
        <v>45564</v>
      </c>
      <c r="D121" t="s">
        <v>15</v>
      </c>
      <c r="E121" t="s">
        <v>26</v>
      </c>
      <c r="F121">
        <v>2936</v>
      </c>
      <c r="G121">
        <v>439</v>
      </c>
      <c r="H121">
        <v>44</v>
      </c>
      <c r="I121">
        <v>38168</v>
      </c>
      <c r="J121">
        <v>37571</v>
      </c>
      <c r="K121">
        <v>22</v>
      </c>
      <c r="L121">
        <f>SUM(Table2_1[[#This Row],[Likes]:[Comments]])</f>
        <v>3419</v>
      </c>
      <c r="M121" t="s">
        <v>33</v>
      </c>
      <c r="N121" t="s">
        <v>34</v>
      </c>
      <c r="O121" s="67">
        <v>8.9577656675749323E-2</v>
      </c>
      <c r="P121" t="s">
        <v>394</v>
      </c>
      <c r="Q121" t="s">
        <v>33</v>
      </c>
    </row>
    <row r="122" spans="1:17" x14ac:dyDescent="0.3">
      <c r="A122" t="s">
        <v>173</v>
      </c>
      <c r="B122" t="s">
        <v>14</v>
      </c>
      <c r="C122" s="48">
        <v>45567</v>
      </c>
      <c r="D122" t="s">
        <v>39</v>
      </c>
      <c r="E122" t="s">
        <v>42</v>
      </c>
      <c r="F122">
        <v>4419</v>
      </c>
      <c r="G122">
        <v>236</v>
      </c>
      <c r="H122">
        <v>369</v>
      </c>
      <c r="I122">
        <v>44190</v>
      </c>
      <c r="J122">
        <v>43582</v>
      </c>
      <c r="K122">
        <v>10</v>
      </c>
      <c r="L122">
        <f>SUM(Table2_1[[#This Row],[Likes]:[Comments]])</f>
        <v>5024</v>
      </c>
      <c r="M122" t="s">
        <v>33</v>
      </c>
      <c r="N122" t="s">
        <v>18</v>
      </c>
      <c r="O122" s="67">
        <v>0.11369088028965829</v>
      </c>
      <c r="P122" t="s">
        <v>394</v>
      </c>
      <c r="Q122" t="s">
        <v>33</v>
      </c>
    </row>
    <row r="123" spans="1:17" x14ac:dyDescent="0.3">
      <c r="A123" t="s">
        <v>182</v>
      </c>
      <c r="B123" t="s">
        <v>30</v>
      </c>
      <c r="C123" s="48">
        <v>45567</v>
      </c>
      <c r="D123" t="s">
        <v>20</v>
      </c>
      <c r="E123" t="s">
        <v>82</v>
      </c>
      <c r="F123">
        <v>3432</v>
      </c>
      <c r="G123">
        <v>869</v>
      </c>
      <c r="H123">
        <v>123</v>
      </c>
      <c r="I123">
        <v>54912</v>
      </c>
      <c r="J123">
        <v>53916</v>
      </c>
      <c r="K123">
        <v>264</v>
      </c>
      <c r="L123">
        <f>SUM(Table2_1[[#This Row],[Likes]:[Comments]])</f>
        <v>4424</v>
      </c>
      <c r="M123" t="s">
        <v>33</v>
      </c>
      <c r="N123" t="s">
        <v>23</v>
      </c>
      <c r="O123" s="67">
        <v>8.0565268065268064E-2</v>
      </c>
      <c r="P123" t="s">
        <v>394</v>
      </c>
      <c r="Q123" t="s">
        <v>33</v>
      </c>
    </row>
    <row r="124" spans="1:17" x14ac:dyDescent="0.3">
      <c r="A124" t="s">
        <v>204</v>
      </c>
      <c r="B124" t="s">
        <v>25</v>
      </c>
      <c r="C124" s="48">
        <v>45567</v>
      </c>
      <c r="D124" t="s">
        <v>39</v>
      </c>
      <c r="E124" t="s">
        <v>55</v>
      </c>
      <c r="F124">
        <v>80</v>
      </c>
      <c r="G124">
        <v>362</v>
      </c>
      <c r="H124">
        <v>80</v>
      </c>
      <c r="I124">
        <v>1040</v>
      </c>
      <c r="J124">
        <v>349</v>
      </c>
      <c r="K124">
        <v>117</v>
      </c>
      <c r="L124">
        <f>SUM(Table2_1[[#This Row],[Likes]:[Comments]])</f>
        <v>522</v>
      </c>
      <c r="M124" t="s">
        <v>27</v>
      </c>
      <c r="N124" t="s">
        <v>28</v>
      </c>
      <c r="O124" s="67">
        <v>0.50192307692307692</v>
      </c>
      <c r="P124" t="s">
        <v>394</v>
      </c>
      <c r="Q124" t="s">
        <v>27</v>
      </c>
    </row>
    <row r="125" spans="1:17" x14ac:dyDescent="0.3">
      <c r="A125" t="s">
        <v>256</v>
      </c>
      <c r="B125" t="s">
        <v>25</v>
      </c>
      <c r="C125" s="48">
        <v>45567</v>
      </c>
      <c r="D125" t="s">
        <v>31</v>
      </c>
      <c r="E125" t="s">
        <v>105</v>
      </c>
      <c r="F125">
        <v>4350</v>
      </c>
      <c r="G125">
        <v>771</v>
      </c>
      <c r="H125">
        <v>7</v>
      </c>
      <c r="I125">
        <v>60900</v>
      </c>
      <c r="J125">
        <v>60592</v>
      </c>
      <c r="K125">
        <v>195</v>
      </c>
      <c r="L125">
        <f>SUM(Table2_1[[#This Row],[Likes]:[Comments]])</f>
        <v>5128</v>
      </c>
      <c r="M125" t="s">
        <v>33</v>
      </c>
      <c r="N125" t="s">
        <v>18</v>
      </c>
      <c r="O125" s="67">
        <v>8.4203612479474554E-2</v>
      </c>
      <c r="P125" t="s">
        <v>394</v>
      </c>
      <c r="Q125" t="s">
        <v>33</v>
      </c>
    </row>
    <row r="126" spans="1:17" x14ac:dyDescent="0.3">
      <c r="A126" t="s">
        <v>350</v>
      </c>
      <c r="B126" t="s">
        <v>30</v>
      </c>
      <c r="C126" s="48">
        <v>45568</v>
      </c>
      <c r="D126" t="s">
        <v>59</v>
      </c>
      <c r="E126" t="s">
        <v>66</v>
      </c>
      <c r="F126">
        <v>1488</v>
      </c>
      <c r="G126">
        <v>417</v>
      </c>
      <c r="H126">
        <v>168</v>
      </c>
      <c r="I126">
        <v>19344</v>
      </c>
      <c r="J126">
        <v>18395</v>
      </c>
      <c r="K126">
        <v>30</v>
      </c>
      <c r="L126">
        <f>SUM(Table2_1[[#This Row],[Likes]:[Comments]])</f>
        <v>2073</v>
      </c>
      <c r="M126" t="s">
        <v>51</v>
      </c>
      <c r="N126" t="s">
        <v>28</v>
      </c>
      <c r="O126" s="67">
        <v>0.1071650124069479</v>
      </c>
      <c r="P126" t="s">
        <v>394</v>
      </c>
      <c r="Q126" t="s">
        <v>51</v>
      </c>
    </row>
    <row r="127" spans="1:17" x14ac:dyDescent="0.3">
      <c r="A127" t="s">
        <v>252</v>
      </c>
      <c r="B127" t="s">
        <v>25</v>
      </c>
      <c r="C127" s="48">
        <v>45569</v>
      </c>
      <c r="D127" t="s">
        <v>20</v>
      </c>
      <c r="E127" t="s">
        <v>77</v>
      </c>
      <c r="F127">
        <v>1963</v>
      </c>
      <c r="G127">
        <v>213</v>
      </c>
      <c r="H127">
        <v>19</v>
      </c>
      <c r="I127">
        <v>39260</v>
      </c>
      <c r="J127">
        <v>38771</v>
      </c>
      <c r="K127">
        <v>145</v>
      </c>
      <c r="L127">
        <f>SUM(Table2_1[[#This Row],[Likes]:[Comments]])</f>
        <v>2195</v>
      </c>
      <c r="M127" t="s">
        <v>51</v>
      </c>
      <c r="N127" t="s">
        <v>397</v>
      </c>
      <c r="O127" s="67">
        <v>5.5909322465613857E-2</v>
      </c>
      <c r="P127" t="s">
        <v>394</v>
      </c>
      <c r="Q127" t="s">
        <v>51</v>
      </c>
    </row>
    <row r="128" spans="1:17" x14ac:dyDescent="0.3">
      <c r="A128" t="s">
        <v>335</v>
      </c>
      <c r="B128" t="s">
        <v>14</v>
      </c>
      <c r="C128" s="48">
        <v>45569</v>
      </c>
      <c r="D128" t="s">
        <v>15</v>
      </c>
      <c r="E128" t="s">
        <v>16</v>
      </c>
      <c r="F128">
        <v>4187</v>
      </c>
      <c r="G128">
        <v>66</v>
      </c>
      <c r="H128">
        <v>31</v>
      </c>
      <c r="I128">
        <v>66992</v>
      </c>
      <c r="J128">
        <v>66614</v>
      </c>
      <c r="K128">
        <v>62</v>
      </c>
      <c r="L128">
        <f>SUM(Table2_1[[#This Row],[Likes]:[Comments]])</f>
        <v>4284</v>
      </c>
      <c r="M128" t="s">
        <v>51</v>
      </c>
      <c r="N128" t="s">
        <v>397</v>
      </c>
      <c r="O128" s="67">
        <v>6.3947934081681396E-2</v>
      </c>
      <c r="P128" t="s">
        <v>394</v>
      </c>
      <c r="Q128" t="s">
        <v>51</v>
      </c>
    </row>
    <row r="129" spans="1:17" x14ac:dyDescent="0.3">
      <c r="A129" t="s">
        <v>172</v>
      </c>
      <c r="B129" t="s">
        <v>14</v>
      </c>
      <c r="C129" s="48">
        <v>45570</v>
      </c>
      <c r="D129" t="s">
        <v>31</v>
      </c>
      <c r="E129" t="s">
        <v>102</v>
      </c>
      <c r="F129">
        <v>1957</v>
      </c>
      <c r="G129">
        <v>877</v>
      </c>
      <c r="H129">
        <v>238</v>
      </c>
      <c r="I129">
        <v>17613</v>
      </c>
      <c r="J129">
        <v>16865</v>
      </c>
      <c r="K129">
        <v>297</v>
      </c>
      <c r="L129">
        <f>SUM(Table2_1[[#This Row],[Likes]:[Comments]])</f>
        <v>3072</v>
      </c>
      <c r="M129" t="s">
        <v>51</v>
      </c>
      <c r="N129" t="s">
        <v>28</v>
      </c>
      <c r="O129" s="67">
        <v>0.17441662408448305</v>
      </c>
      <c r="P129" t="s">
        <v>394</v>
      </c>
      <c r="Q129" t="s">
        <v>51</v>
      </c>
    </row>
    <row r="130" spans="1:17" x14ac:dyDescent="0.3">
      <c r="A130" t="s">
        <v>285</v>
      </c>
      <c r="B130" t="s">
        <v>38</v>
      </c>
      <c r="C130" s="48">
        <v>45573</v>
      </c>
      <c r="D130" t="s">
        <v>15</v>
      </c>
      <c r="E130" t="s">
        <v>53</v>
      </c>
      <c r="F130">
        <v>1814</v>
      </c>
      <c r="G130">
        <v>653</v>
      </c>
      <c r="H130">
        <v>363</v>
      </c>
      <c r="I130">
        <v>25396</v>
      </c>
      <c r="J130">
        <v>25286</v>
      </c>
      <c r="K130">
        <v>39</v>
      </c>
      <c r="L130">
        <f>SUM(Table2_1[[#This Row],[Likes]:[Comments]])</f>
        <v>2830</v>
      </c>
      <c r="M130" t="s">
        <v>286</v>
      </c>
      <c r="N130" t="s">
        <v>18</v>
      </c>
      <c r="O130" s="67">
        <v>0.11143487163332809</v>
      </c>
      <c r="P130" t="s">
        <v>394</v>
      </c>
      <c r="Q130" t="s">
        <v>51</v>
      </c>
    </row>
    <row r="131" spans="1:17" x14ac:dyDescent="0.3">
      <c r="A131" t="s">
        <v>285</v>
      </c>
      <c r="B131" t="s">
        <v>38</v>
      </c>
      <c r="C131" s="48">
        <v>45573</v>
      </c>
      <c r="D131" t="s">
        <v>15</v>
      </c>
      <c r="E131" t="s">
        <v>53</v>
      </c>
      <c r="F131">
        <v>1814</v>
      </c>
      <c r="G131">
        <v>653</v>
      </c>
      <c r="H131">
        <v>363</v>
      </c>
      <c r="I131">
        <v>25396</v>
      </c>
      <c r="J131">
        <v>25286</v>
      </c>
      <c r="K131">
        <v>39</v>
      </c>
      <c r="L131">
        <f>SUM(Table2_1[[#This Row],[Likes]:[Comments]])</f>
        <v>2830</v>
      </c>
      <c r="M131" t="s">
        <v>286</v>
      </c>
      <c r="N131" t="s">
        <v>18</v>
      </c>
      <c r="O131" s="67">
        <v>0.11143487163332809</v>
      </c>
      <c r="P131" t="s">
        <v>395</v>
      </c>
      <c r="Q131" t="s">
        <v>388</v>
      </c>
    </row>
    <row r="132" spans="1:17" x14ac:dyDescent="0.3">
      <c r="A132" t="s">
        <v>136</v>
      </c>
      <c r="B132" t="s">
        <v>30</v>
      </c>
      <c r="C132" s="48">
        <v>45574</v>
      </c>
      <c r="D132" t="s">
        <v>39</v>
      </c>
      <c r="E132" t="s">
        <v>68</v>
      </c>
      <c r="F132">
        <v>3068</v>
      </c>
      <c r="G132">
        <v>137</v>
      </c>
      <c r="H132">
        <v>329</v>
      </c>
      <c r="I132">
        <v>39884</v>
      </c>
      <c r="J132">
        <v>39404</v>
      </c>
      <c r="K132">
        <v>266</v>
      </c>
      <c r="L132">
        <f>SUM(Table2_1[[#This Row],[Likes]:[Comments]])</f>
        <v>3534</v>
      </c>
      <c r="M132" t="s">
        <v>33</v>
      </c>
      <c r="N132" t="s">
        <v>23</v>
      </c>
      <c r="O132" s="67">
        <v>8.860696018453515E-2</v>
      </c>
      <c r="P132" t="s">
        <v>394</v>
      </c>
      <c r="Q132" t="s">
        <v>33</v>
      </c>
    </row>
    <row r="133" spans="1:17" x14ac:dyDescent="0.3">
      <c r="A133" t="s">
        <v>216</v>
      </c>
      <c r="B133" t="s">
        <v>30</v>
      </c>
      <c r="C133" s="48">
        <v>45574</v>
      </c>
      <c r="D133" t="s">
        <v>39</v>
      </c>
      <c r="E133" t="s">
        <v>68</v>
      </c>
      <c r="F133">
        <v>985</v>
      </c>
      <c r="G133">
        <v>932</v>
      </c>
      <c r="H133">
        <v>287</v>
      </c>
      <c r="I133">
        <v>6895</v>
      </c>
      <c r="J133">
        <v>6757</v>
      </c>
      <c r="K133">
        <v>64</v>
      </c>
      <c r="L133">
        <f>SUM(Table2_1[[#This Row],[Likes]:[Comments]])</f>
        <v>2204</v>
      </c>
      <c r="M133" t="s">
        <v>51</v>
      </c>
      <c r="N133" t="s">
        <v>34</v>
      </c>
      <c r="O133" s="67">
        <v>0.31965192168237855</v>
      </c>
      <c r="P133" t="s">
        <v>394</v>
      </c>
      <c r="Q133" t="s">
        <v>51</v>
      </c>
    </row>
    <row r="134" spans="1:17" x14ac:dyDescent="0.3">
      <c r="A134" t="s">
        <v>311</v>
      </c>
      <c r="B134" t="s">
        <v>38</v>
      </c>
      <c r="C134" s="48">
        <v>45576</v>
      </c>
      <c r="D134" t="s">
        <v>44</v>
      </c>
      <c r="E134" t="s">
        <v>49</v>
      </c>
      <c r="F134">
        <v>400</v>
      </c>
      <c r="G134">
        <v>680</v>
      </c>
      <c r="H134">
        <v>434</v>
      </c>
      <c r="I134">
        <v>6400</v>
      </c>
      <c r="J134">
        <v>5472</v>
      </c>
      <c r="K134">
        <v>160</v>
      </c>
      <c r="L134">
        <f>SUM(Table2_1[[#This Row],[Likes]:[Comments]])</f>
        <v>1514</v>
      </c>
      <c r="M134" t="s">
        <v>51</v>
      </c>
      <c r="N134" t="s">
        <v>23</v>
      </c>
      <c r="O134" s="67">
        <v>0.23656250000000001</v>
      </c>
      <c r="P134" t="s">
        <v>394</v>
      </c>
      <c r="Q134" t="s">
        <v>51</v>
      </c>
    </row>
    <row r="135" spans="1:17" x14ac:dyDescent="0.3">
      <c r="A135" t="s">
        <v>341</v>
      </c>
      <c r="B135" t="s">
        <v>25</v>
      </c>
      <c r="C135" s="48">
        <v>45577</v>
      </c>
      <c r="D135" t="s">
        <v>31</v>
      </c>
      <c r="E135" t="s">
        <v>105</v>
      </c>
      <c r="F135">
        <v>3641</v>
      </c>
      <c r="G135">
        <v>226</v>
      </c>
      <c r="H135">
        <v>46</v>
      </c>
      <c r="I135">
        <v>40051</v>
      </c>
      <c r="J135">
        <v>39319</v>
      </c>
      <c r="K135">
        <v>296</v>
      </c>
      <c r="L135">
        <f>SUM(Table2_1[[#This Row],[Likes]:[Comments]])</f>
        <v>3913</v>
      </c>
      <c r="M135" t="s">
        <v>33</v>
      </c>
      <c r="N135" t="s">
        <v>34</v>
      </c>
      <c r="O135" s="67">
        <v>9.7700431949264685E-2</v>
      </c>
      <c r="P135" t="s">
        <v>394</v>
      </c>
      <c r="Q135" t="s">
        <v>33</v>
      </c>
    </row>
    <row r="136" spans="1:17" x14ac:dyDescent="0.3">
      <c r="A136" t="s">
        <v>142</v>
      </c>
      <c r="B136" t="s">
        <v>25</v>
      </c>
      <c r="C136" s="48">
        <v>45580</v>
      </c>
      <c r="D136" t="s">
        <v>59</v>
      </c>
      <c r="E136" t="s">
        <v>143</v>
      </c>
      <c r="F136">
        <v>1094</v>
      </c>
      <c r="G136">
        <v>472</v>
      </c>
      <c r="H136">
        <v>21</v>
      </c>
      <c r="I136">
        <v>9846</v>
      </c>
      <c r="J136">
        <v>9609</v>
      </c>
      <c r="K136">
        <v>112</v>
      </c>
      <c r="L136">
        <f>SUM(Table2_1[[#This Row],[Likes]:[Comments]])</f>
        <v>1587</v>
      </c>
      <c r="M136" t="s">
        <v>33</v>
      </c>
      <c r="N136" t="s">
        <v>397</v>
      </c>
      <c r="O136" s="67">
        <v>0.16118220597196831</v>
      </c>
      <c r="P136" t="s">
        <v>394</v>
      </c>
      <c r="Q136" t="s">
        <v>33</v>
      </c>
    </row>
    <row r="137" spans="1:17" x14ac:dyDescent="0.3">
      <c r="A137" t="s">
        <v>339</v>
      </c>
      <c r="B137" t="s">
        <v>30</v>
      </c>
      <c r="C137" s="48">
        <v>45582</v>
      </c>
      <c r="D137" t="s">
        <v>59</v>
      </c>
      <c r="E137" t="s">
        <v>66</v>
      </c>
      <c r="F137">
        <v>3575</v>
      </c>
      <c r="G137">
        <v>749</v>
      </c>
      <c r="H137">
        <v>111</v>
      </c>
      <c r="I137">
        <v>21450</v>
      </c>
      <c r="J137">
        <v>20785</v>
      </c>
      <c r="K137">
        <v>195</v>
      </c>
      <c r="L137">
        <f>SUM(Table2_1[[#This Row],[Likes]:[Comments]])</f>
        <v>4435</v>
      </c>
      <c r="M137" t="s">
        <v>33</v>
      </c>
      <c r="N137" t="s">
        <v>23</v>
      </c>
      <c r="O137" s="67">
        <v>0.20675990675990677</v>
      </c>
      <c r="P137" t="s">
        <v>394</v>
      </c>
      <c r="Q137" t="s">
        <v>33</v>
      </c>
    </row>
    <row r="138" spans="1:17" x14ac:dyDescent="0.3">
      <c r="A138" t="s">
        <v>130</v>
      </c>
      <c r="B138" t="s">
        <v>38</v>
      </c>
      <c r="C138" s="48">
        <v>45583</v>
      </c>
      <c r="D138" t="s">
        <v>31</v>
      </c>
      <c r="E138" t="s">
        <v>57</v>
      </c>
      <c r="F138">
        <v>4126</v>
      </c>
      <c r="G138">
        <v>426</v>
      </c>
      <c r="H138">
        <v>486</v>
      </c>
      <c r="I138">
        <v>78394</v>
      </c>
      <c r="J138">
        <v>77798</v>
      </c>
      <c r="K138">
        <v>88</v>
      </c>
      <c r="L138">
        <f>SUM(Table2_1[[#This Row],[Likes]:[Comments]])</f>
        <v>5038</v>
      </c>
      <c r="M138" t="s">
        <v>51</v>
      </c>
      <c r="N138" t="s">
        <v>34</v>
      </c>
      <c r="O138" s="67">
        <v>6.4265122330790625E-2</v>
      </c>
      <c r="P138" t="s">
        <v>394</v>
      </c>
      <c r="Q138" t="s">
        <v>51</v>
      </c>
    </row>
    <row r="139" spans="1:17" x14ac:dyDescent="0.3">
      <c r="A139" t="s">
        <v>161</v>
      </c>
      <c r="B139" t="s">
        <v>25</v>
      </c>
      <c r="C139" s="48">
        <v>45583</v>
      </c>
      <c r="D139" t="s">
        <v>59</v>
      </c>
      <c r="E139" t="s">
        <v>143</v>
      </c>
      <c r="F139">
        <v>4450</v>
      </c>
      <c r="G139">
        <v>983</v>
      </c>
      <c r="H139">
        <v>143</v>
      </c>
      <c r="I139">
        <v>75650</v>
      </c>
      <c r="J139">
        <v>75008</v>
      </c>
      <c r="K139">
        <v>12</v>
      </c>
      <c r="L139">
        <f>SUM(Table2_1[[#This Row],[Likes]:[Comments]])</f>
        <v>5576</v>
      </c>
      <c r="M139" t="s">
        <v>51</v>
      </c>
      <c r="N139" t="s">
        <v>28</v>
      </c>
      <c r="O139" s="67">
        <v>7.3707865168539333E-2</v>
      </c>
      <c r="P139" t="s">
        <v>394</v>
      </c>
      <c r="Q139" t="s">
        <v>51</v>
      </c>
    </row>
    <row r="140" spans="1:17" x14ac:dyDescent="0.3">
      <c r="A140" t="s">
        <v>138</v>
      </c>
      <c r="B140" t="s">
        <v>30</v>
      </c>
      <c r="C140" s="48">
        <v>45584</v>
      </c>
      <c r="D140" t="s">
        <v>31</v>
      </c>
      <c r="E140" t="s">
        <v>32</v>
      </c>
      <c r="F140">
        <v>1816</v>
      </c>
      <c r="G140">
        <v>29</v>
      </c>
      <c r="H140">
        <v>41</v>
      </c>
      <c r="I140">
        <v>19976</v>
      </c>
      <c r="J140">
        <v>19262</v>
      </c>
      <c r="K140">
        <v>283</v>
      </c>
      <c r="L140">
        <f>SUM(Table2_1[[#This Row],[Likes]:[Comments]])</f>
        <v>1886</v>
      </c>
      <c r="M140" t="s">
        <v>27</v>
      </c>
      <c r="N140" t="s">
        <v>28</v>
      </c>
      <c r="O140" s="67">
        <v>9.4413295955146179E-2</v>
      </c>
      <c r="P140" t="s">
        <v>394</v>
      </c>
      <c r="Q140" t="s">
        <v>27</v>
      </c>
    </row>
    <row r="141" spans="1:17" x14ac:dyDescent="0.3">
      <c r="A141" t="s">
        <v>113</v>
      </c>
      <c r="B141" t="s">
        <v>14</v>
      </c>
      <c r="C141" s="48">
        <v>45586</v>
      </c>
      <c r="D141" t="s">
        <v>59</v>
      </c>
      <c r="E141" t="s">
        <v>99</v>
      </c>
      <c r="F141">
        <v>2825</v>
      </c>
      <c r="G141">
        <v>535</v>
      </c>
      <c r="H141">
        <v>295</v>
      </c>
      <c r="I141">
        <v>45200</v>
      </c>
      <c r="J141">
        <v>44739</v>
      </c>
      <c r="K141">
        <v>169</v>
      </c>
      <c r="L141">
        <f>SUM(Table2_1[[#This Row],[Likes]:[Comments]])</f>
        <v>3655</v>
      </c>
      <c r="M141" t="s">
        <v>27</v>
      </c>
      <c r="N141" t="s">
        <v>18</v>
      </c>
      <c r="O141" s="67">
        <v>8.0862831858407078E-2</v>
      </c>
      <c r="P141" t="s">
        <v>394</v>
      </c>
      <c r="Q141" t="s">
        <v>27</v>
      </c>
    </row>
    <row r="142" spans="1:17" x14ac:dyDescent="0.3">
      <c r="A142" t="s">
        <v>152</v>
      </c>
      <c r="B142" t="s">
        <v>14</v>
      </c>
      <c r="C142" s="48">
        <v>45586</v>
      </c>
      <c r="D142" t="s">
        <v>31</v>
      </c>
      <c r="E142" t="s">
        <v>102</v>
      </c>
      <c r="F142">
        <v>3801</v>
      </c>
      <c r="G142">
        <v>967</v>
      </c>
      <c r="H142">
        <v>401</v>
      </c>
      <c r="I142">
        <v>38010</v>
      </c>
      <c r="J142">
        <v>37625</v>
      </c>
      <c r="K142">
        <v>236</v>
      </c>
      <c r="L142">
        <f>SUM(Table2_1[[#This Row],[Likes]:[Comments]])</f>
        <v>5169</v>
      </c>
      <c r="M142" t="s">
        <v>51</v>
      </c>
      <c r="N142" t="s">
        <v>28</v>
      </c>
      <c r="O142" s="67">
        <v>0.13599052880820836</v>
      </c>
      <c r="P142" t="s">
        <v>394</v>
      </c>
      <c r="Q142" t="s">
        <v>51</v>
      </c>
    </row>
    <row r="143" spans="1:17" x14ac:dyDescent="0.3">
      <c r="A143" t="s">
        <v>180</v>
      </c>
      <c r="B143" t="s">
        <v>38</v>
      </c>
      <c r="C143" s="48">
        <v>45586</v>
      </c>
      <c r="D143" t="s">
        <v>31</v>
      </c>
      <c r="E143" t="s">
        <v>57</v>
      </c>
      <c r="F143">
        <v>780</v>
      </c>
      <c r="G143">
        <v>928</v>
      </c>
      <c r="H143">
        <v>301</v>
      </c>
      <c r="I143">
        <v>8580</v>
      </c>
      <c r="J143">
        <v>8081</v>
      </c>
      <c r="K143">
        <v>91</v>
      </c>
      <c r="L143">
        <f>SUM(Table2_1[[#This Row],[Likes]:[Comments]])</f>
        <v>2009</v>
      </c>
      <c r="M143" t="s">
        <v>33</v>
      </c>
      <c r="N143" t="s">
        <v>28</v>
      </c>
      <c r="O143" s="67">
        <v>0.23414918414918415</v>
      </c>
      <c r="P143" t="s">
        <v>394</v>
      </c>
      <c r="Q143" t="s">
        <v>33</v>
      </c>
    </row>
    <row r="144" spans="1:17" x14ac:dyDescent="0.3">
      <c r="A144" t="s">
        <v>191</v>
      </c>
      <c r="B144" t="s">
        <v>30</v>
      </c>
      <c r="C144" s="48">
        <v>45586</v>
      </c>
      <c r="D144" t="s">
        <v>15</v>
      </c>
      <c r="E144" t="s">
        <v>64</v>
      </c>
      <c r="F144">
        <v>4840</v>
      </c>
      <c r="G144">
        <v>658</v>
      </c>
      <c r="H144">
        <v>211</v>
      </c>
      <c r="I144">
        <v>43560</v>
      </c>
      <c r="J144">
        <v>43225</v>
      </c>
      <c r="K144">
        <v>57</v>
      </c>
      <c r="L144">
        <f>SUM(Table2_1[[#This Row],[Likes]:[Comments]])</f>
        <v>5709</v>
      </c>
      <c r="M144" t="s">
        <v>51</v>
      </c>
      <c r="N144" t="s">
        <v>28</v>
      </c>
      <c r="O144" s="67">
        <v>0.13106060606060607</v>
      </c>
      <c r="P144" t="s">
        <v>394</v>
      </c>
      <c r="Q144" t="s">
        <v>51</v>
      </c>
    </row>
    <row r="145" spans="1:17" x14ac:dyDescent="0.3">
      <c r="A145" t="s">
        <v>209</v>
      </c>
      <c r="B145" t="s">
        <v>30</v>
      </c>
      <c r="C145" s="48">
        <v>45586</v>
      </c>
      <c r="D145" t="s">
        <v>15</v>
      </c>
      <c r="E145" t="s">
        <v>64</v>
      </c>
      <c r="F145">
        <v>3256</v>
      </c>
      <c r="G145">
        <v>459</v>
      </c>
      <c r="H145">
        <v>266</v>
      </c>
      <c r="I145">
        <v>26048</v>
      </c>
      <c r="J145">
        <v>25529</v>
      </c>
      <c r="K145">
        <v>143</v>
      </c>
      <c r="L145">
        <f>SUM(Table2_1[[#This Row],[Likes]:[Comments]])</f>
        <v>3981</v>
      </c>
      <c r="M145" t="s">
        <v>27</v>
      </c>
      <c r="N145" t="s">
        <v>23</v>
      </c>
      <c r="O145" s="67">
        <v>0.15283323095823095</v>
      </c>
      <c r="P145" t="s">
        <v>394</v>
      </c>
      <c r="Q145" t="s">
        <v>27</v>
      </c>
    </row>
    <row r="146" spans="1:17" x14ac:dyDescent="0.3">
      <c r="A146" t="s">
        <v>348</v>
      </c>
      <c r="B146" t="s">
        <v>25</v>
      </c>
      <c r="C146" s="48">
        <v>45586</v>
      </c>
      <c r="D146" t="s">
        <v>59</v>
      </c>
      <c r="E146" t="s">
        <v>143</v>
      </c>
      <c r="F146">
        <v>4275</v>
      </c>
      <c r="G146">
        <v>680</v>
      </c>
      <c r="H146">
        <v>385</v>
      </c>
      <c r="I146">
        <v>64125</v>
      </c>
      <c r="J146">
        <v>63650</v>
      </c>
      <c r="K146">
        <v>104</v>
      </c>
      <c r="L146">
        <f>SUM(Table2_1[[#This Row],[Likes]:[Comments]])</f>
        <v>5340</v>
      </c>
      <c r="M146" t="s">
        <v>117</v>
      </c>
      <c r="N146" t="s">
        <v>34</v>
      </c>
      <c r="O146" s="67">
        <v>8.3274853801169585E-2</v>
      </c>
      <c r="P146" t="s">
        <v>394</v>
      </c>
      <c r="Q146" t="s">
        <v>33</v>
      </c>
    </row>
    <row r="147" spans="1:17" x14ac:dyDescent="0.3">
      <c r="A147" t="s">
        <v>348</v>
      </c>
      <c r="B147" t="s">
        <v>25</v>
      </c>
      <c r="C147" s="48">
        <v>45586</v>
      </c>
      <c r="D147" t="s">
        <v>59</v>
      </c>
      <c r="E147" t="s">
        <v>143</v>
      </c>
      <c r="F147">
        <v>4275</v>
      </c>
      <c r="G147">
        <v>680</v>
      </c>
      <c r="H147">
        <v>385</v>
      </c>
      <c r="I147">
        <v>64125</v>
      </c>
      <c r="J147">
        <v>63650</v>
      </c>
      <c r="K147">
        <v>104</v>
      </c>
      <c r="L147">
        <f>SUM(Table2_1[[#This Row],[Likes]:[Comments]])</f>
        <v>5340</v>
      </c>
      <c r="M147" t="s">
        <v>117</v>
      </c>
      <c r="N147" t="s">
        <v>34</v>
      </c>
      <c r="O147" s="67">
        <v>8.3274853801169585E-2</v>
      </c>
      <c r="P147" t="s">
        <v>395</v>
      </c>
      <c r="Q147" t="s">
        <v>27</v>
      </c>
    </row>
    <row r="148" spans="1:17" x14ac:dyDescent="0.3">
      <c r="A148" t="s">
        <v>348</v>
      </c>
      <c r="B148" t="s">
        <v>25</v>
      </c>
      <c r="C148" s="48">
        <v>45586</v>
      </c>
      <c r="D148" t="s">
        <v>59</v>
      </c>
      <c r="E148" t="s">
        <v>143</v>
      </c>
      <c r="F148">
        <v>4275</v>
      </c>
      <c r="G148">
        <v>680</v>
      </c>
      <c r="H148">
        <v>385</v>
      </c>
      <c r="I148">
        <v>64125</v>
      </c>
      <c r="J148">
        <v>63650</v>
      </c>
      <c r="K148">
        <v>104</v>
      </c>
      <c r="L148">
        <f>SUM(Table2_1[[#This Row],[Likes]:[Comments]])</f>
        <v>5340</v>
      </c>
      <c r="M148" t="s">
        <v>117</v>
      </c>
      <c r="N148" t="s">
        <v>34</v>
      </c>
      <c r="O148" s="67">
        <v>8.3274853801169585E-2</v>
      </c>
      <c r="P148" t="s">
        <v>396</v>
      </c>
      <c r="Q148" t="s">
        <v>392</v>
      </c>
    </row>
    <row r="149" spans="1:17" x14ac:dyDescent="0.3">
      <c r="A149" t="s">
        <v>218</v>
      </c>
      <c r="B149" t="s">
        <v>38</v>
      </c>
      <c r="C149" s="48">
        <v>45587</v>
      </c>
      <c r="D149" t="s">
        <v>39</v>
      </c>
      <c r="E149" t="s">
        <v>40</v>
      </c>
      <c r="F149">
        <v>3352</v>
      </c>
      <c r="G149">
        <v>941</v>
      </c>
      <c r="H149">
        <v>482</v>
      </c>
      <c r="I149">
        <v>43576</v>
      </c>
      <c r="J149">
        <v>43338</v>
      </c>
      <c r="K149">
        <v>240</v>
      </c>
      <c r="L149">
        <f>SUM(Table2_1[[#This Row],[Likes]:[Comments]])</f>
        <v>4775</v>
      </c>
      <c r="M149" t="s">
        <v>51</v>
      </c>
      <c r="N149" t="s">
        <v>23</v>
      </c>
      <c r="O149" s="67">
        <v>0.1095786671562328</v>
      </c>
      <c r="P149" t="s">
        <v>394</v>
      </c>
      <c r="Q149" t="s">
        <v>51</v>
      </c>
    </row>
    <row r="150" spans="1:17" x14ac:dyDescent="0.3">
      <c r="A150" t="s">
        <v>259</v>
      </c>
      <c r="B150" t="s">
        <v>14</v>
      </c>
      <c r="C150" s="48">
        <v>45587</v>
      </c>
      <c r="D150" t="s">
        <v>15</v>
      </c>
      <c r="E150" t="s">
        <v>16</v>
      </c>
      <c r="F150">
        <v>4782</v>
      </c>
      <c r="G150">
        <v>721</v>
      </c>
      <c r="H150">
        <v>82</v>
      </c>
      <c r="I150">
        <v>86076</v>
      </c>
      <c r="J150">
        <v>85339</v>
      </c>
      <c r="K150">
        <v>19</v>
      </c>
      <c r="L150">
        <f>SUM(Table2_1[[#This Row],[Likes]:[Comments]])</f>
        <v>5585</v>
      </c>
      <c r="M150" t="s">
        <v>33</v>
      </c>
      <c r="N150" t="s">
        <v>18</v>
      </c>
      <c r="O150" s="67">
        <v>6.4884520656164318E-2</v>
      </c>
      <c r="P150" t="s">
        <v>394</v>
      </c>
      <c r="Q150" t="s">
        <v>33</v>
      </c>
    </row>
    <row r="151" spans="1:17" x14ac:dyDescent="0.3">
      <c r="A151" t="s">
        <v>302</v>
      </c>
      <c r="B151" t="s">
        <v>30</v>
      </c>
      <c r="C151" s="48">
        <v>45587</v>
      </c>
      <c r="D151" t="s">
        <v>31</v>
      </c>
      <c r="E151" t="s">
        <v>32</v>
      </c>
      <c r="F151">
        <v>3770</v>
      </c>
      <c r="G151">
        <v>917</v>
      </c>
      <c r="H151">
        <v>129</v>
      </c>
      <c r="I151">
        <v>71630</v>
      </c>
      <c r="J151">
        <v>71322</v>
      </c>
      <c r="K151">
        <v>76</v>
      </c>
      <c r="L151">
        <f>SUM(Table2_1[[#This Row],[Likes]:[Comments]])</f>
        <v>4816</v>
      </c>
      <c r="M151" t="s">
        <v>51</v>
      </c>
      <c r="N151" t="s">
        <v>18</v>
      </c>
      <c r="O151" s="67">
        <v>6.7234398994834563E-2</v>
      </c>
      <c r="P151" t="s">
        <v>394</v>
      </c>
      <c r="Q151" t="s">
        <v>51</v>
      </c>
    </row>
    <row r="152" spans="1:17" x14ac:dyDescent="0.3">
      <c r="A152" t="s">
        <v>58</v>
      </c>
      <c r="B152" t="s">
        <v>38</v>
      </c>
      <c r="C152" s="48">
        <v>45589</v>
      </c>
      <c r="D152" t="s">
        <v>59</v>
      </c>
      <c r="E152" t="s">
        <v>60</v>
      </c>
      <c r="F152">
        <v>3888</v>
      </c>
      <c r="G152">
        <v>604</v>
      </c>
      <c r="H152">
        <v>128</v>
      </c>
      <c r="I152">
        <v>77760</v>
      </c>
      <c r="J152">
        <v>77167</v>
      </c>
      <c r="K152">
        <v>20</v>
      </c>
      <c r="L152">
        <f>SUM(Table2_1[[#This Row],[Likes]:[Comments]])</f>
        <v>4620</v>
      </c>
      <c r="M152" t="s">
        <v>51</v>
      </c>
      <c r="N152" t="s">
        <v>18</v>
      </c>
      <c r="O152" s="67">
        <v>5.941358024691358E-2</v>
      </c>
      <c r="P152" t="s">
        <v>394</v>
      </c>
      <c r="Q152" t="s">
        <v>51</v>
      </c>
    </row>
    <row r="153" spans="1:17" x14ac:dyDescent="0.3">
      <c r="A153" t="s">
        <v>366</v>
      </c>
      <c r="B153" t="s">
        <v>38</v>
      </c>
      <c r="C153" s="48">
        <v>45589</v>
      </c>
      <c r="D153" t="s">
        <v>44</v>
      </c>
      <c r="E153" t="s">
        <v>49</v>
      </c>
      <c r="F153">
        <v>4303</v>
      </c>
      <c r="G153">
        <v>451</v>
      </c>
      <c r="H153">
        <v>286</v>
      </c>
      <c r="I153">
        <v>86060</v>
      </c>
      <c r="J153">
        <v>85823</v>
      </c>
      <c r="K153">
        <v>14</v>
      </c>
      <c r="L153">
        <f>SUM(Table2_1[[#This Row],[Likes]:[Comments]])</f>
        <v>5040</v>
      </c>
      <c r="M153" t="s">
        <v>27</v>
      </c>
      <c r="N153" t="s">
        <v>28</v>
      </c>
      <c r="O153" s="67">
        <v>5.8563792702765516E-2</v>
      </c>
      <c r="P153" t="s">
        <v>394</v>
      </c>
      <c r="Q153" t="s">
        <v>27</v>
      </c>
    </row>
    <row r="154" spans="1:17" x14ac:dyDescent="0.3">
      <c r="A154" t="s">
        <v>309</v>
      </c>
      <c r="B154" t="s">
        <v>25</v>
      </c>
      <c r="C154" s="48">
        <v>45590</v>
      </c>
      <c r="D154" t="s">
        <v>59</v>
      </c>
      <c r="E154" t="s">
        <v>143</v>
      </c>
      <c r="F154">
        <v>4661</v>
      </c>
      <c r="G154">
        <v>935</v>
      </c>
      <c r="H154">
        <v>433</v>
      </c>
      <c r="I154">
        <v>23305</v>
      </c>
      <c r="J154">
        <v>22583</v>
      </c>
      <c r="K154">
        <v>63</v>
      </c>
      <c r="L154">
        <f>SUM(Table2_1[[#This Row],[Likes]:[Comments]])</f>
        <v>6029</v>
      </c>
      <c r="M154" t="s">
        <v>51</v>
      </c>
      <c r="N154" t="s">
        <v>28</v>
      </c>
      <c r="O154" s="67">
        <v>0.25869984981763572</v>
      </c>
      <c r="P154" t="s">
        <v>394</v>
      </c>
      <c r="Q154" t="s">
        <v>51</v>
      </c>
    </row>
    <row r="155" spans="1:17" x14ac:dyDescent="0.3">
      <c r="A155" t="s">
        <v>329</v>
      </c>
      <c r="B155" t="s">
        <v>30</v>
      </c>
      <c r="C155" s="48">
        <v>45592</v>
      </c>
      <c r="D155" t="s">
        <v>44</v>
      </c>
      <c r="E155" t="s">
        <v>140</v>
      </c>
      <c r="F155">
        <v>4853</v>
      </c>
      <c r="G155">
        <v>837</v>
      </c>
      <c r="H155">
        <v>340</v>
      </c>
      <c r="I155">
        <v>72795</v>
      </c>
      <c r="J155">
        <v>72237</v>
      </c>
      <c r="K155">
        <v>170</v>
      </c>
      <c r="L155">
        <f>SUM(Table2_1[[#This Row],[Likes]:[Comments]])</f>
        <v>6030</v>
      </c>
      <c r="M155" t="s">
        <v>33</v>
      </c>
      <c r="N155" t="s">
        <v>18</v>
      </c>
      <c r="O155" s="67">
        <v>8.2835359571399134E-2</v>
      </c>
      <c r="P155" t="s">
        <v>394</v>
      </c>
      <c r="Q155" t="s">
        <v>33</v>
      </c>
    </row>
    <row r="156" spans="1:17" x14ac:dyDescent="0.3">
      <c r="A156" t="s">
        <v>131</v>
      </c>
      <c r="B156" t="s">
        <v>25</v>
      </c>
      <c r="C156" s="48">
        <v>45593</v>
      </c>
      <c r="D156" t="s">
        <v>15</v>
      </c>
      <c r="E156" t="s">
        <v>26</v>
      </c>
      <c r="F156">
        <v>1855</v>
      </c>
      <c r="G156">
        <v>200</v>
      </c>
      <c r="H156">
        <v>174</v>
      </c>
      <c r="I156">
        <v>16695</v>
      </c>
      <c r="J156">
        <v>16330</v>
      </c>
      <c r="K156">
        <v>123</v>
      </c>
      <c r="L156">
        <f>SUM(Table2_1[[#This Row],[Likes]:[Comments]])</f>
        <v>2229</v>
      </c>
      <c r="M156" t="s">
        <v>27</v>
      </c>
      <c r="N156" t="s">
        <v>28</v>
      </c>
      <c r="O156" s="67">
        <v>0.13351302785265048</v>
      </c>
      <c r="P156" t="s">
        <v>394</v>
      </c>
      <c r="Q156" t="s">
        <v>27</v>
      </c>
    </row>
    <row r="157" spans="1:17" x14ac:dyDescent="0.3">
      <c r="A157" t="s">
        <v>205</v>
      </c>
      <c r="B157" t="s">
        <v>25</v>
      </c>
      <c r="C157" s="48">
        <v>45593</v>
      </c>
      <c r="D157" t="s">
        <v>31</v>
      </c>
      <c r="E157" t="s">
        <v>105</v>
      </c>
      <c r="F157">
        <v>4929</v>
      </c>
      <c r="G157">
        <v>749</v>
      </c>
      <c r="H157">
        <v>452</v>
      </c>
      <c r="I157">
        <v>93651</v>
      </c>
      <c r="J157">
        <v>92810</v>
      </c>
      <c r="K157">
        <v>66</v>
      </c>
      <c r="L157">
        <f>SUM(Table2_1[[#This Row],[Likes]:[Comments]])</f>
        <v>6130</v>
      </c>
      <c r="M157" t="s">
        <v>33</v>
      </c>
      <c r="N157" t="s">
        <v>34</v>
      </c>
      <c r="O157" s="67">
        <v>6.5455787978772245E-2</v>
      </c>
      <c r="P157" t="s">
        <v>394</v>
      </c>
      <c r="Q157" t="s">
        <v>33</v>
      </c>
    </row>
    <row r="158" spans="1:17" x14ac:dyDescent="0.3">
      <c r="A158" t="s">
        <v>199</v>
      </c>
      <c r="B158" t="s">
        <v>25</v>
      </c>
      <c r="C158" s="48">
        <v>45594</v>
      </c>
      <c r="D158" t="s">
        <v>20</v>
      </c>
      <c r="E158" t="s">
        <v>77</v>
      </c>
      <c r="F158">
        <v>2746</v>
      </c>
      <c r="G158">
        <v>156</v>
      </c>
      <c r="H158">
        <v>203</v>
      </c>
      <c r="I158">
        <v>32952</v>
      </c>
      <c r="J158">
        <v>32147</v>
      </c>
      <c r="K158">
        <v>147</v>
      </c>
      <c r="L158">
        <f>SUM(Table2_1[[#This Row],[Likes]:[Comments]])</f>
        <v>3105</v>
      </c>
      <c r="M158" t="s">
        <v>33</v>
      </c>
      <c r="N158" t="s">
        <v>18</v>
      </c>
      <c r="O158" s="67">
        <v>9.422796795338674E-2</v>
      </c>
      <c r="P158" t="s">
        <v>394</v>
      </c>
      <c r="Q158" t="s">
        <v>33</v>
      </c>
    </row>
    <row r="159" spans="1:17" x14ac:dyDescent="0.3">
      <c r="A159" t="s">
        <v>37</v>
      </c>
      <c r="B159" t="s">
        <v>38</v>
      </c>
      <c r="C159" s="48">
        <v>45596</v>
      </c>
      <c r="D159" t="s">
        <v>39</v>
      </c>
      <c r="E159" t="s">
        <v>40</v>
      </c>
      <c r="F159">
        <v>2945</v>
      </c>
      <c r="G159">
        <v>930</v>
      </c>
      <c r="H159">
        <v>355</v>
      </c>
      <c r="I159">
        <v>23560</v>
      </c>
      <c r="J159">
        <v>23275</v>
      </c>
      <c r="K159">
        <v>256</v>
      </c>
      <c r="L159">
        <f>SUM(Table2_1[[#This Row],[Likes]:[Comments]])</f>
        <v>4230</v>
      </c>
      <c r="M159" t="s">
        <v>27</v>
      </c>
      <c r="N159" t="s">
        <v>23</v>
      </c>
      <c r="O159" s="67">
        <v>0.17954159592529711</v>
      </c>
      <c r="P159" t="s">
        <v>394</v>
      </c>
      <c r="Q159" t="s">
        <v>27</v>
      </c>
    </row>
    <row r="160" spans="1:17" x14ac:dyDescent="0.3">
      <c r="A160" t="s">
        <v>97</v>
      </c>
      <c r="B160" t="s">
        <v>38</v>
      </c>
      <c r="C160" s="48">
        <v>45597</v>
      </c>
      <c r="D160" t="s">
        <v>59</v>
      </c>
      <c r="E160" t="s">
        <v>60</v>
      </c>
      <c r="F160">
        <v>3371</v>
      </c>
      <c r="G160">
        <v>106</v>
      </c>
      <c r="H160">
        <v>327</v>
      </c>
      <c r="I160">
        <v>50565</v>
      </c>
      <c r="J160">
        <v>49816</v>
      </c>
      <c r="K160">
        <v>176</v>
      </c>
      <c r="L160">
        <f>SUM(Table2_1[[#This Row],[Likes]:[Comments]])</f>
        <v>3804</v>
      </c>
      <c r="M160" t="s">
        <v>51</v>
      </c>
      <c r="N160" t="s">
        <v>18</v>
      </c>
      <c r="O160" s="67">
        <v>7.5229902106199939E-2</v>
      </c>
      <c r="P160" t="s">
        <v>394</v>
      </c>
      <c r="Q160" t="s">
        <v>51</v>
      </c>
    </row>
    <row r="161" spans="1:17" x14ac:dyDescent="0.3">
      <c r="A161" t="s">
        <v>177</v>
      </c>
      <c r="B161" t="s">
        <v>14</v>
      </c>
      <c r="C161" s="48">
        <v>45600</v>
      </c>
      <c r="D161" t="s">
        <v>44</v>
      </c>
      <c r="E161" t="s">
        <v>92</v>
      </c>
      <c r="F161">
        <v>1606</v>
      </c>
      <c r="G161">
        <v>451</v>
      </c>
      <c r="H161">
        <v>405</v>
      </c>
      <c r="I161">
        <v>20878</v>
      </c>
      <c r="J161">
        <v>20190</v>
      </c>
      <c r="K161">
        <v>219</v>
      </c>
      <c r="L161">
        <f>SUM(Table2_1[[#This Row],[Likes]:[Comments]])</f>
        <v>2462</v>
      </c>
      <c r="M161" t="s">
        <v>33</v>
      </c>
      <c r="N161" t="s">
        <v>34</v>
      </c>
      <c r="O161" s="67">
        <v>0.11792317271769326</v>
      </c>
      <c r="P161" t="s">
        <v>394</v>
      </c>
      <c r="Q161" t="s">
        <v>33</v>
      </c>
    </row>
    <row r="162" spans="1:17" x14ac:dyDescent="0.3">
      <c r="A162" t="s">
        <v>178</v>
      </c>
      <c r="B162" t="s">
        <v>38</v>
      </c>
      <c r="C162" s="48">
        <v>45600</v>
      </c>
      <c r="D162" t="s">
        <v>44</v>
      </c>
      <c r="E162" t="s">
        <v>49</v>
      </c>
      <c r="F162">
        <v>4551</v>
      </c>
      <c r="G162">
        <v>714</v>
      </c>
      <c r="H162">
        <v>207</v>
      </c>
      <c r="I162">
        <v>68265</v>
      </c>
      <c r="J162">
        <v>67754</v>
      </c>
      <c r="K162">
        <v>57</v>
      </c>
      <c r="L162">
        <f>SUM(Table2_1[[#This Row],[Likes]:[Comments]])</f>
        <v>5472</v>
      </c>
      <c r="M162" t="s">
        <v>51</v>
      </c>
      <c r="N162" t="s">
        <v>28</v>
      </c>
      <c r="O162" s="67">
        <v>8.0158206987475278E-2</v>
      </c>
      <c r="P162" t="s">
        <v>394</v>
      </c>
      <c r="Q162" t="s">
        <v>51</v>
      </c>
    </row>
    <row r="163" spans="1:17" x14ac:dyDescent="0.3">
      <c r="A163" t="s">
        <v>337</v>
      </c>
      <c r="B163" t="s">
        <v>30</v>
      </c>
      <c r="C163" s="48">
        <v>45601</v>
      </c>
      <c r="D163" t="s">
        <v>59</v>
      </c>
      <c r="E163" t="s">
        <v>66</v>
      </c>
      <c r="F163">
        <v>4561</v>
      </c>
      <c r="G163">
        <v>51</v>
      </c>
      <c r="H163">
        <v>441</v>
      </c>
      <c r="I163">
        <v>22805</v>
      </c>
      <c r="J163">
        <v>21890</v>
      </c>
      <c r="K163">
        <v>45</v>
      </c>
      <c r="L163">
        <f>SUM(Table2_1[[#This Row],[Likes]:[Comments]])</f>
        <v>5053</v>
      </c>
      <c r="M163" t="s">
        <v>27</v>
      </c>
      <c r="N163" t="s">
        <v>23</v>
      </c>
      <c r="O163" s="67">
        <v>0.22157421618066214</v>
      </c>
      <c r="P163" t="s">
        <v>394</v>
      </c>
      <c r="Q163" t="s">
        <v>27</v>
      </c>
    </row>
    <row r="164" spans="1:17" x14ac:dyDescent="0.3">
      <c r="A164" t="s">
        <v>71</v>
      </c>
      <c r="B164" t="s">
        <v>38</v>
      </c>
      <c r="C164" s="48">
        <v>45602</v>
      </c>
      <c r="D164" t="s">
        <v>59</v>
      </c>
      <c r="E164" t="s">
        <v>60</v>
      </c>
      <c r="F164">
        <v>1606</v>
      </c>
      <c r="G164">
        <v>547</v>
      </c>
      <c r="H164">
        <v>316</v>
      </c>
      <c r="I164">
        <v>32120</v>
      </c>
      <c r="J164">
        <v>31736</v>
      </c>
      <c r="K164">
        <v>225</v>
      </c>
      <c r="L164">
        <f>SUM(Table2_1[[#This Row],[Likes]:[Comments]])</f>
        <v>2469</v>
      </c>
      <c r="M164" t="s">
        <v>72</v>
      </c>
      <c r="N164" t="s">
        <v>23</v>
      </c>
      <c r="O164" s="67">
        <v>7.6867995018679955E-2</v>
      </c>
      <c r="P164" t="s">
        <v>394</v>
      </c>
      <c r="Q164" t="s">
        <v>27</v>
      </c>
    </row>
    <row r="165" spans="1:17" x14ac:dyDescent="0.3">
      <c r="A165" t="s">
        <v>71</v>
      </c>
      <c r="B165" t="s">
        <v>38</v>
      </c>
      <c r="C165" s="48">
        <v>45602</v>
      </c>
      <c r="D165" t="s">
        <v>59</v>
      </c>
      <c r="E165" t="s">
        <v>60</v>
      </c>
      <c r="F165">
        <v>1606</v>
      </c>
      <c r="G165">
        <v>547</v>
      </c>
      <c r="H165">
        <v>316</v>
      </c>
      <c r="I165">
        <v>32120</v>
      </c>
      <c r="J165">
        <v>31736</v>
      </c>
      <c r="K165">
        <v>225</v>
      </c>
      <c r="L165">
        <f>SUM(Table2_1[[#This Row],[Likes]:[Comments]])</f>
        <v>2469</v>
      </c>
      <c r="M165" t="s">
        <v>72</v>
      </c>
      <c r="N165" t="s">
        <v>23</v>
      </c>
      <c r="O165" s="67">
        <v>7.6867995018679955E-2</v>
      </c>
      <c r="P165" t="s">
        <v>395</v>
      </c>
      <c r="Q165" t="s">
        <v>392</v>
      </c>
    </row>
    <row r="166" spans="1:17" x14ac:dyDescent="0.3">
      <c r="A166" t="s">
        <v>359</v>
      </c>
      <c r="B166" t="s">
        <v>38</v>
      </c>
      <c r="C166" s="48">
        <v>45602</v>
      </c>
      <c r="D166" t="s">
        <v>59</v>
      </c>
      <c r="E166" t="s">
        <v>60</v>
      </c>
      <c r="F166">
        <v>4663</v>
      </c>
      <c r="G166">
        <v>145</v>
      </c>
      <c r="H166">
        <v>225</v>
      </c>
      <c r="I166">
        <v>69945</v>
      </c>
      <c r="J166">
        <v>69596</v>
      </c>
      <c r="K166">
        <v>35</v>
      </c>
      <c r="L166">
        <f>SUM(Table2_1[[#This Row],[Likes]:[Comments]])</f>
        <v>5033</v>
      </c>
      <c r="M166" t="s">
        <v>33</v>
      </c>
      <c r="N166" t="s">
        <v>34</v>
      </c>
      <c r="O166" s="67">
        <v>7.1956537279290869E-2</v>
      </c>
      <c r="P166" t="s">
        <v>394</v>
      </c>
      <c r="Q166" t="s">
        <v>33</v>
      </c>
    </row>
    <row r="167" spans="1:17" x14ac:dyDescent="0.3">
      <c r="A167" t="s">
        <v>133</v>
      </c>
      <c r="B167" t="s">
        <v>14</v>
      </c>
      <c r="C167" s="48">
        <v>45603</v>
      </c>
      <c r="D167" t="s">
        <v>31</v>
      </c>
      <c r="E167" t="s">
        <v>102</v>
      </c>
      <c r="F167">
        <v>1121</v>
      </c>
      <c r="G167">
        <v>135</v>
      </c>
      <c r="H167">
        <v>18</v>
      </c>
      <c r="I167">
        <v>15694</v>
      </c>
      <c r="J167">
        <v>14957</v>
      </c>
      <c r="K167">
        <v>99</v>
      </c>
      <c r="L167">
        <f>SUM(Table2_1[[#This Row],[Likes]:[Comments]])</f>
        <v>1274</v>
      </c>
      <c r="M167" t="s">
        <v>27</v>
      </c>
      <c r="N167" t="s">
        <v>34</v>
      </c>
      <c r="O167" s="67">
        <v>8.1177520071364848E-2</v>
      </c>
      <c r="P167" t="s">
        <v>394</v>
      </c>
      <c r="Q167" t="s">
        <v>27</v>
      </c>
    </row>
    <row r="168" spans="1:17" x14ac:dyDescent="0.3">
      <c r="A168" t="s">
        <v>154</v>
      </c>
      <c r="B168" t="s">
        <v>30</v>
      </c>
      <c r="C168" s="48">
        <v>45603</v>
      </c>
      <c r="D168" t="s">
        <v>44</v>
      </c>
      <c r="E168" t="s">
        <v>140</v>
      </c>
      <c r="F168">
        <v>2647</v>
      </c>
      <c r="G168">
        <v>304</v>
      </c>
      <c r="H168">
        <v>170</v>
      </c>
      <c r="I168">
        <v>18529</v>
      </c>
      <c r="J168">
        <v>17841</v>
      </c>
      <c r="K168">
        <v>46</v>
      </c>
      <c r="L168">
        <f>SUM(Table2_1[[#This Row],[Likes]:[Comments]])</f>
        <v>3121</v>
      </c>
      <c r="M168" t="s">
        <v>51</v>
      </c>
      <c r="N168" t="s">
        <v>28</v>
      </c>
      <c r="O168" s="67">
        <v>0.16843866371633656</v>
      </c>
      <c r="P168" t="s">
        <v>394</v>
      </c>
      <c r="Q168" t="s">
        <v>51</v>
      </c>
    </row>
    <row r="169" spans="1:17" x14ac:dyDescent="0.3">
      <c r="A169" t="s">
        <v>240</v>
      </c>
      <c r="B169" t="s">
        <v>30</v>
      </c>
      <c r="C169" s="48">
        <v>45603</v>
      </c>
      <c r="D169" t="s">
        <v>59</v>
      </c>
      <c r="E169" t="s">
        <v>66</v>
      </c>
      <c r="F169">
        <v>129</v>
      </c>
      <c r="G169">
        <v>643</v>
      </c>
      <c r="H169">
        <v>136</v>
      </c>
      <c r="I169">
        <v>1290</v>
      </c>
      <c r="J169">
        <v>839</v>
      </c>
      <c r="K169">
        <v>238</v>
      </c>
      <c r="L169">
        <f>SUM(Table2_1[[#This Row],[Likes]:[Comments]])</f>
        <v>908</v>
      </c>
      <c r="M169" t="s">
        <v>27</v>
      </c>
      <c r="N169" t="s">
        <v>34</v>
      </c>
      <c r="O169" s="67">
        <v>0.70387596899224802</v>
      </c>
      <c r="P169" t="s">
        <v>394</v>
      </c>
      <c r="Q169" t="s">
        <v>27</v>
      </c>
    </row>
    <row r="170" spans="1:17" x14ac:dyDescent="0.3">
      <c r="A170" t="s">
        <v>155</v>
      </c>
      <c r="B170" t="s">
        <v>30</v>
      </c>
      <c r="C170" s="48">
        <v>45604</v>
      </c>
      <c r="D170" t="s">
        <v>20</v>
      </c>
      <c r="E170" t="s">
        <v>82</v>
      </c>
      <c r="F170">
        <v>3182</v>
      </c>
      <c r="G170">
        <v>559</v>
      </c>
      <c r="H170">
        <v>160</v>
      </c>
      <c r="I170">
        <v>57276</v>
      </c>
      <c r="J170">
        <v>56890</v>
      </c>
      <c r="K170">
        <v>163</v>
      </c>
      <c r="L170">
        <f>SUM(Table2_1[[#This Row],[Likes]:[Comments]])</f>
        <v>3901</v>
      </c>
      <c r="M170" t="s">
        <v>51</v>
      </c>
      <c r="N170" t="s">
        <v>34</v>
      </c>
      <c r="O170" s="67">
        <v>6.8108806480899509E-2</v>
      </c>
      <c r="P170" t="s">
        <v>394</v>
      </c>
      <c r="Q170" t="s">
        <v>51</v>
      </c>
    </row>
    <row r="171" spans="1:17" x14ac:dyDescent="0.3">
      <c r="A171" t="s">
        <v>230</v>
      </c>
      <c r="B171" t="s">
        <v>38</v>
      </c>
      <c r="C171" s="48">
        <v>45608</v>
      </c>
      <c r="D171" t="s">
        <v>20</v>
      </c>
      <c r="E171" t="s">
        <v>47</v>
      </c>
      <c r="F171">
        <v>2418</v>
      </c>
      <c r="G171">
        <v>754</v>
      </c>
      <c r="H171">
        <v>54</v>
      </c>
      <c r="I171">
        <v>43524</v>
      </c>
      <c r="J171">
        <v>42743</v>
      </c>
      <c r="K171">
        <v>182</v>
      </c>
      <c r="L171">
        <f>SUM(Table2_1[[#This Row],[Likes]:[Comments]])</f>
        <v>3226</v>
      </c>
      <c r="M171" t="s">
        <v>33</v>
      </c>
      <c r="N171" t="s">
        <v>18</v>
      </c>
      <c r="O171" s="67">
        <v>7.412002573292896E-2</v>
      </c>
      <c r="P171" t="s">
        <v>394</v>
      </c>
      <c r="Q171" t="s">
        <v>33</v>
      </c>
    </row>
    <row r="172" spans="1:17" x14ac:dyDescent="0.3">
      <c r="A172" t="s">
        <v>287</v>
      </c>
      <c r="B172" t="s">
        <v>14</v>
      </c>
      <c r="C172" s="48">
        <v>45608</v>
      </c>
      <c r="D172" t="s">
        <v>44</v>
      </c>
      <c r="E172" t="s">
        <v>92</v>
      </c>
      <c r="F172">
        <v>3338</v>
      </c>
      <c r="G172">
        <v>277</v>
      </c>
      <c r="H172">
        <v>118</v>
      </c>
      <c r="I172">
        <v>60084</v>
      </c>
      <c r="J172">
        <v>59842</v>
      </c>
      <c r="K172">
        <v>252</v>
      </c>
      <c r="L172">
        <f>SUM(Table2_1[[#This Row],[Likes]:[Comments]])</f>
        <v>3733</v>
      </c>
      <c r="M172" t="s">
        <v>27</v>
      </c>
      <c r="N172" t="s">
        <v>397</v>
      </c>
      <c r="O172" s="67">
        <v>6.2129685107516146E-2</v>
      </c>
      <c r="P172" t="s">
        <v>394</v>
      </c>
      <c r="Q172" t="s">
        <v>27</v>
      </c>
    </row>
    <row r="173" spans="1:17" x14ac:dyDescent="0.3">
      <c r="A173" t="s">
        <v>174</v>
      </c>
      <c r="B173" t="s">
        <v>14</v>
      </c>
      <c r="C173" s="48">
        <v>45610</v>
      </c>
      <c r="D173" t="s">
        <v>31</v>
      </c>
      <c r="E173" t="s">
        <v>102</v>
      </c>
      <c r="F173">
        <v>4000</v>
      </c>
      <c r="G173">
        <v>689</v>
      </c>
      <c r="H173">
        <v>488</v>
      </c>
      <c r="I173">
        <v>40000</v>
      </c>
      <c r="J173">
        <v>39569</v>
      </c>
      <c r="K173">
        <v>44</v>
      </c>
      <c r="L173">
        <f>SUM(Table2_1[[#This Row],[Likes]:[Comments]])</f>
        <v>5177</v>
      </c>
      <c r="M173" t="s">
        <v>51</v>
      </c>
      <c r="N173" t="s">
        <v>18</v>
      </c>
      <c r="O173" s="67">
        <v>0.12942500000000001</v>
      </c>
      <c r="P173" t="s">
        <v>394</v>
      </c>
      <c r="Q173" t="s">
        <v>51</v>
      </c>
    </row>
    <row r="174" spans="1:17" x14ac:dyDescent="0.3">
      <c r="A174" t="s">
        <v>360</v>
      </c>
      <c r="B174" t="s">
        <v>38</v>
      </c>
      <c r="C174" s="48">
        <v>45613</v>
      </c>
      <c r="D174" t="s">
        <v>20</v>
      </c>
      <c r="E174" t="s">
        <v>47</v>
      </c>
      <c r="F174">
        <v>880</v>
      </c>
      <c r="G174">
        <v>297</v>
      </c>
      <c r="H174">
        <v>345</v>
      </c>
      <c r="I174">
        <v>12320</v>
      </c>
      <c r="J174">
        <v>11978</v>
      </c>
      <c r="K174">
        <v>238</v>
      </c>
      <c r="L174">
        <f>SUM(Table2_1[[#This Row],[Likes]:[Comments]])</f>
        <v>1522</v>
      </c>
      <c r="M174" t="s">
        <v>72</v>
      </c>
      <c r="N174" t="s">
        <v>397</v>
      </c>
      <c r="O174" s="67">
        <v>0.12353896103896105</v>
      </c>
      <c r="P174" t="s">
        <v>394</v>
      </c>
      <c r="Q174" t="s">
        <v>27</v>
      </c>
    </row>
    <row r="175" spans="1:17" x14ac:dyDescent="0.3">
      <c r="A175" t="s">
        <v>360</v>
      </c>
      <c r="B175" t="s">
        <v>38</v>
      </c>
      <c r="C175" s="48">
        <v>45613</v>
      </c>
      <c r="D175" t="s">
        <v>20</v>
      </c>
      <c r="E175" t="s">
        <v>47</v>
      </c>
      <c r="F175">
        <v>880</v>
      </c>
      <c r="G175">
        <v>297</v>
      </c>
      <c r="H175">
        <v>345</v>
      </c>
      <c r="I175">
        <v>12320</v>
      </c>
      <c r="J175">
        <v>11978</v>
      </c>
      <c r="K175">
        <v>238</v>
      </c>
      <c r="L175">
        <f>SUM(Table2_1[[#This Row],[Likes]:[Comments]])</f>
        <v>1522</v>
      </c>
      <c r="M175" t="s">
        <v>72</v>
      </c>
      <c r="N175" t="s">
        <v>397</v>
      </c>
      <c r="O175" s="67">
        <v>0.12353896103896105</v>
      </c>
      <c r="P175" t="s">
        <v>395</v>
      </c>
      <c r="Q175" t="s">
        <v>392</v>
      </c>
    </row>
    <row r="176" spans="1:17" x14ac:dyDescent="0.3">
      <c r="A176" t="s">
        <v>54</v>
      </c>
      <c r="B176" t="s">
        <v>25</v>
      </c>
      <c r="C176" s="48">
        <v>45614</v>
      </c>
      <c r="D176" t="s">
        <v>39</v>
      </c>
      <c r="E176" t="s">
        <v>55</v>
      </c>
      <c r="F176">
        <v>1171</v>
      </c>
      <c r="G176">
        <v>286</v>
      </c>
      <c r="H176">
        <v>231</v>
      </c>
      <c r="I176">
        <v>22249</v>
      </c>
      <c r="J176">
        <v>21282</v>
      </c>
      <c r="K176">
        <v>114</v>
      </c>
      <c r="L176">
        <f>SUM(Table2_1[[#This Row],[Likes]:[Comments]])</f>
        <v>1688</v>
      </c>
      <c r="M176" t="s">
        <v>33</v>
      </c>
      <c r="N176" t="s">
        <v>18</v>
      </c>
      <c r="O176" s="67">
        <v>7.5868578363072495E-2</v>
      </c>
      <c r="P176" t="s">
        <v>394</v>
      </c>
      <c r="Q176" t="s">
        <v>33</v>
      </c>
    </row>
    <row r="177" spans="1:17" x14ac:dyDescent="0.3">
      <c r="A177" t="s">
        <v>265</v>
      </c>
      <c r="B177" t="s">
        <v>30</v>
      </c>
      <c r="C177" s="48">
        <v>45617</v>
      </c>
      <c r="D177" t="s">
        <v>39</v>
      </c>
      <c r="E177" t="s">
        <v>68</v>
      </c>
      <c r="F177">
        <v>3773</v>
      </c>
      <c r="G177">
        <v>299</v>
      </c>
      <c r="H177">
        <v>38</v>
      </c>
      <c r="I177">
        <v>71687</v>
      </c>
      <c r="J177">
        <v>71447</v>
      </c>
      <c r="K177">
        <v>286</v>
      </c>
      <c r="L177">
        <f>SUM(Table2_1[[#This Row],[Likes]:[Comments]])</f>
        <v>4110</v>
      </c>
      <c r="M177" t="s">
        <v>51</v>
      </c>
      <c r="N177" t="s">
        <v>18</v>
      </c>
      <c r="O177" s="67">
        <v>5.7332570758993957E-2</v>
      </c>
      <c r="P177" t="s">
        <v>394</v>
      </c>
      <c r="Q177" t="s">
        <v>51</v>
      </c>
    </row>
    <row r="178" spans="1:17" x14ac:dyDescent="0.3">
      <c r="A178" t="s">
        <v>119</v>
      </c>
      <c r="B178" t="s">
        <v>14</v>
      </c>
      <c r="C178" s="48">
        <v>45618</v>
      </c>
      <c r="D178" t="s">
        <v>39</v>
      </c>
      <c r="E178" t="s">
        <v>42</v>
      </c>
      <c r="F178">
        <v>53</v>
      </c>
      <c r="G178">
        <v>81</v>
      </c>
      <c r="H178">
        <v>379</v>
      </c>
      <c r="I178">
        <v>954</v>
      </c>
      <c r="J178">
        <v>7</v>
      </c>
      <c r="K178">
        <v>148</v>
      </c>
      <c r="L178">
        <f>SUM(Table2_1[[#This Row],[Likes]:[Comments]])</f>
        <v>513</v>
      </c>
      <c r="M178" t="s">
        <v>27</v>
      </c>
      <c r="N178" t="s">
        <v>28</v>
      </c>
      <c r="O178" s="67">
        <v>0.53773584905660377</v>
      </c>
      <c r="P178" t="s">
        <v>394</v>
      </c>
      <c r="Q178" t="s">
        <v>27</v>
      </c>
    </row>
    <row r="179" spans="1:17" x14ac:dyDescent="0.3">
      <c r="A179" t="s">
        <v>171</v>
      </c>
      <c r="B179" t="s">
        <v>25</v>
      </c>
      <c r="C179" s="48">
        <v>45619</v>
      </c>
      <c r="D179" t="s">
        <v>44</v>
      </c>
      <c r="E179" t="s">
        <v>45</v>
      </c>
      <c r="F179">
        <v>2719</v>
      </c>
      <c r="G179">
        <v>17</v>
      </c>
      <c r="H179">
        <v>285</v>
      </c>
      <c r="I179">
        <v>40785</v>
      </c>
      <c r="J179">
        <v>40281</v>
      </c>
      <c r="K179">
        <v>40</v>
      </c>
      <c r="L179">
        <f>SUM(Table2_1[[#This Row],[Likes]:[Comments]])</f>
        <v>3021</v>
      </c>
      <c r="M179" t="s">
        <v>27</v>
      </c>
      <c r="N179" t="s">
        <v>23</v>
      </c>
      <c r="O179" s="67">
        <v>7.4071349760941527E-2</v>
      </c>
      <c r="P179" t="s">
        <v>394</v>
      </c>
      <c r="Q179" t="s">
        <v>27</v>
      </c>
    </row>
    <row r="180" spans="1:17" x14ac:dyDescent="0.3">
      <c r="A180" t="s">
        <v>90</v>
      </c>
      <c r="B180" t="s">
        <v>38</v>
      </c>
      <c r="C180" s="48">
        <v>45621</v>
      </c>
      <c r="D180" t="s">
        <v>44</v>
      </c>
      <c r="E180" t="s">
        <v>49</v>
      </c>
      <c r="F180">
        <v>3564</v>
      </c>
      <c r="G180">
        <v>629</v>
      </c>
      <c r="H180">
        <v>177</v>
      </c>
      <c r="I180">
        <v>60588</v>
      </c>
      <c r="J180">
        <v>59627</v>
      </c>
      <c r="K180">
        <v>92</v>
      </c>
      <c r="L180">
        <f>SUM(Table2_1[[#This Row],[Likes]:[Comments]])</f>
        <v>4370</v>
      </c>
      <c r="M180" t="s">
        <v>27</v>
      </c>
      <c r="N180" t="s">
        <v>397</v>
      </c>
      <c r="O180" s="67">
        <v>7.2126493695121141E-2</v>
      </c>
      <c r="P180" t="s">
        <v>394</v>
      </c>
      <c r="Q180" t="s">
        <v>27</v>
      </c>
    </row>
    <row r="181" spans="1:17" x14ac:dyDescent="0.3">
      <c r="A181" t="s">
        <v>221</v>
      </c>
      <c r="B181" t="s">
        <v>38</v>
      </c>
      <c r="C181" s="48">
        <v>45621</v>
      </c>
      <c r="D181" t="s">
        <v>31</v>
      </c>
      <c r="E181" t="s">
        <v>57</v>
      </c>
      <c r="F181">
        <v>2120</v>
      </c>
      <c r="G181">
        <v>158</v>
      </c>
      <c r="H181">
        <v>488</v>
      </c>
      <c r="I181">
        <v>12720</v>
      </c>
      <c r="J181">
        <v>12085</v>
      </c>
      <c r="K181">
        <v>17</v>
      </c>
      <c r="L181">
        <f>SUM(Table2_1[[#This Row],[Likes]:[Comments]])</f>
        <v>2766</v>
      </c>
      <c r="M181" t="s">
        <v>51</v>
      </c>
      <c r="N181" t="s">
        <v>23</v>
      </c>
      <c r="O181" s="67">
        <v>0.21745283018867925</v>
      </c>
      <c r="P181" t="s">
        <v>394</v>
      </c>
      <c r="Q181" t="s">
        <v>51</v>
      </c>
    </row>
    <row r="182" spans="1:17" x14ac:dyDescent="0.3">
      <c r="A182" t="s">
        <v>334</v>
      </c>
      <c r="B182" t="s">
        <v>38</v>
      </c>
      <c r="C182" s="48">
        <v>45621</v>
      </c>
      <c r="D182" t="s">
        <v>31</v>
      </c>
      <c r="E182" t="s">
        <v>57</v>
      </c>
      <c r="F182">
        <v>4182</v>
      </c>
      <c r="G182">
        <v>640</v>
      </c>
      <c r="H182">
        <v>240</v>
      </c>
      <c r="I182">
        <v>50184</v>
      </c>
      <c r="J182">
        <v>49351</v>
      </c>
      <c r="K182">
        <v>10</v>
      </c>
      <c r="L182">
        <f>SUM(Table2_1[[#This Row],[Likes]:[Comments]])</f>
        <v>5062</v>
      </c>
      <c r="M182" t="s">
        <v>27</v>
      </c>
      <c r="N182" t="s">
        <v>28</v>
      </c>
      <c r="O182" s="67">
        <v>0.10086880280567512</v>
      </c>
      <c r="P182" t="s">
        <v>394</v>
      </c>
      <c r="Q182" t="s">
        <v>27</v>
      </c>
    </row>
    <row r="183" spans="1:17" x14ac:dyDescent="0.3">
      <c r="A183" t="s">
        <v>346</v>
      </c>
      <c r="B183" t="s">
        <v>14</v>
      </c>
      <c r="C183" s="48">
        <v>45622</v>
      </c>
      <c r="D183" t="s">
        <v>20</v>
      </c>
      <c r="E183" t="s">
        <v>21</v>
      </c>
      <c r="F183">
        <v>4516</v>
      </c>
      <c r="G183">
        <v>836</v>
      </c>
      <c r="H183">
        <v>169</v>
      </c>
      <c r="I183">
        <v>49676</v>
      </c>
      <c r="J183">
        <v>49257</v>
      </c>
      <c r="K183">
        <v>282</v>
      </c>
      <c r="L183">
        <f>SUM(Table2_1[[#This Row],[Likes]:[Comments]])</f>
        <v>5521</v>
      </c>
      <c r="M183" t="s">
        <v>33</v>
      </c>
      <c r="N183" t="s">
        <v>34</v>
      </c>
      <c r="O183" s="67">
        <v>0.11114018842096787</v>
      </c>
      <c r="P183" t="s">
        <v>394</v>
      </c>
      <c r="Q183" t="s">
        <v>33</v>
      </c>
    </row>
    <row r="184" spans="1:17" x14ac:dyDescent="0.3">
      <c r="A184" t="s">
        <v>195</v>
      </c>
      <c r="B184" t="s">
        <v>38</v>
      </c>
      <c r="C184" s="48">
        <v>45624</v>
      </c>
      <c r="D184" t="s">
        <v>20</v>
      </c>
      <c r="E184" t="s">
        <v>47</v>
      </c>
      <c r="F184">
        <v>4213</v>
      </c>
      <c r="G184">
        <v>253</v>
      </c>
      <c r="H184">
        <v>434</v>
      </c>
      <c r="I184">
        <v>75834</v>
      </c>
      <c r="J184">
        <v>75437</v>
      </c>
      <c r="K184">
        <v>272</v>
      </c>
      <c r="L184">
        <f>SUM(Table2_1[[#This Row],[Likes]:[Comments]])</f>
        <v>4900</v>
      </c>
      <c r="M184" t="s">
        <v>51</v>
      </c>
      <c r="N184" t="s">
        <v>34</v>
      </c>
      <c r="O184" s="67">
        <v>6.461481657304112E-2</v>
      </c>
      <c r="P184" t="s">
        <v>394</v>
      </c>
      <c r="Q184" t="s">
        <v>51</v>
      </c>
    </row>
    <row r="185" spans="1:17" x14ac:dyDescent="0.3">
      <c r="A185" t="s">
        <v>229</v>
      </c>
      <c r="B185" t="s">
        <v>30</v>
      </c>
      <c r="C185" s="48">
        <v>45624</v>
      </c>
      <c r="D185" t="s">
        <v>20</v>
      </c>
      <c r="E185" t="s">
        <v>82</v>
      </c>
      <c r="F185">
        <v>4771</v>
      </c>
      <c r="G185">
        <v>818</v>
      </c>
      <c r="H185">
        <v>56</v>
      </c>
      <c r="I185">
        <v>57252</v>
      </c>
      <c r="J185">
        <v>56378</v>
      </c>
      <c r="K185">
        <v>150</v>
      </c>
      <c r="L185">
        <f>SUM(Table2_1[[#This Row],[Likes]:[Comments]])</f>
        <v>5645</v>
      </c>
      <c r="M185" t="s">
        <v>51</v>
      </c>
      <c r="N185" t="s">
        <v>397</v>
      </c>
      <c r="O185" s="67">
        <v>9.859917557465242E-2</v>
      </c>
      <c r="P185" t="s">
        <v>394</v>
      </c>
      <c r="Q185" t="s">
        <v>51</v>
      </c>
    </row>
    <row r="186" spans="1:17" x14ac:dyDescent="0.3">
      <c r="A186" t="s">
        <v>357</v>
      </c>
      <c r="B186" t="s">
        <v>38</v>
      </c>
      <c r="C186" s="48">
        <v>45624</v>
      </c>
      <c r="D186" t="s">
        <v>39</v>
      </c>
      <c r="E186" t="s">
        <v>40</v>
      </c>
      <c r="F186">
        <v>2751</v>
      </c>
      <c r="G186">
        <v>33</v>
      </c>
      <c r="H186">
        <v>430</v>
      </c>
      <c r="I186">
        <v>44016</v>
      </c>
      <c r="J186">
        <v>43415</v>
      </c>
      <c r="K186">
        <v>129</v>
      </c>
      <c r="L186">
        <f>SUM(Table2_1[[#This Row],[Likes]:[Comments]])</f>
        <v>3214</v>
      </c>
      <c r="M186" t="s">
        <v>51</v>
      </c>
      <c r="N186" t="s">
        <v>397</v>
      </c>
      <c r="O186" s="67">
        <v>7.3018902217375503E-2</v>
      </c>
      <c r="P186" t="s">
        <v>394</v>
      </c>
      <c r="Q186" t="s">
        <v>51</v>
      </c>
    </row>
    <row r="187" spans="1:17" x14ac:dyDescent="0.3">
      <c r="A187" t="s">
        <v>254</v>
      </c>
      <c r="B187" t="s">
        <v>30</v>
      </c>
      <c r="C187" s="48">
        <v>45625</v>
      </c>
      <c r="D187" t="s">
        <v>59</v>
      </c>
      <c r="E187" t="s">
        <v>66</v>
      </c>
      <c r="F187">
        <v>1176</v>
      </c>
      <c r="G187">
        <v>464</v>
      </c>
      <c r="H187">
        <v>394</v>
      </c>
      <c r="I187">
        <v>14112</v>
      </c>
      <c r="J187">
        <v>13588</v>
      </c>
      <c r="K187">
        <v>272</v>
      </c>
      <c r="L187">
        <f>SUM(Table2_1[[#This Row],[Likes]:[Comments]])</f>
        <v>2034</v>
      </c>
      <c r="M187" t="s">
        <v>33</v>
      </c>
      <c r="N187" t="s">
        <v>397</v>
      </c>
      <c r="O187" s="67">
        <v>0.1441326530612245</v>
      </c>
      <c r="P187" t="s">
        <v>394</v>
      </c>
      <c r="Q187" t="s">
        <v>33</v>
      </c>
    </row>
    <row r="188" spans="1:17" x14ac:dyDescent="0.3">
      <c r="A188" t="s">
        <v>86</v>
      </c>
      <c r="B188" t="s">
        <v>30</v>
      </c>
      <c r="C188" s="48">
        <v>45626</v>
      </c>
      <c r="D188" t="s">
        <v>59</v>
      </c>
      <c r="E188" t="s">
        <v>66</v>
      </c>
      <c r="F188">
        <v>3775</v>
      </c>
      <c r="G188">
        <v>16</v>
      </c>
      <c r="H188">
        <v>239</v>
      </c>
      <c r="I188">
        <v>33975</v>
      </c>
      <c r="J188">
        <v>33310</v>
      </c>
      <c r="K188">
        <v>271</v>
      </c>
      <c r="L188">
        <f>SUM(Table2_1[[#This Row],[Likes]:[Comments]])</f>
        <v>4030</v>
      </c>
      <c r="M188" t="s">
        <v>51</v>
      </c>
      <c r="N188" t="s">
        <v>23</v>
      </c>
      <c r="O188" s="67">
        <v>0.11861662987490802</v>
      </c>
      <c r="P188" t="s">
        <v>394</v>
      </c>
      <c r="Q188" t="s">
        <v>51</v>
      </c>
    </row>
    <row r="189" spans="1:17" x14ac:dyDescent="0.3">
      <c r="A189" t="s">
        <v>261</v>
      </c>
      <c r="B189" t="s">
        <v>25</v>
      </c>
      <c r="C189" s="48">
        <v>45626</v>
      </c>
      <c r="D189" t="s">
        <v>39</v>
      </c>
      <c r="E189" t="s">
        <v>55</v>
      </c>
      <c r="F189">
        <v>2509</v>
      </c>
      <c r="G189">
        <v>324</v>
      </c>
      <c r="H189">
        <v>171</v>
      </c>
      <c r="I189">
        <v>35126</v>
      </c>
      <c r="J189">
        <v>34685</v>
      </c>
      <c r="K189">
        <v>277</v>
      </c>
      <c r="L189">
        <f>SUM(Table2_1[[#This Row],[Likes]:[Comments]])</f>
        <v>3004</v>
      </c>
      <c r="M189" t="s">
        <v>27</v>
      </c>
      <c r="N189" t="s">
        <v>23</v>
      </c>
      <c r="O189" s="67">
        <v>8.5520696919660646E-2</v>
      </c>
      <c r="P189" t="s">
        <v>394</v>
      </c>
      <c r="Q189" t="s">
        <v>27</v>
      </c>
    </row>
    <row r="190" spans="1:17" x14ac:dyDescent="0.3">
      <c r="A190" t="s">
        <v>231</v>
      </c>
      <c r="B190" t="s">
        <v>25</v>
      </c>
      <c r="C190" s="48">
        <v>45629</v>
      </c>
      <c r="D190" t="s">
        <v>59</v>
      </c>
      <c r="E190" t="s">
        <v>143</v>
      </c>
      <c r="F190">
        <v>3809</v>
      </c>
      <c r="G190">
        <v>273</v>
      </c>
      <c r="H190">
        <v>200</v>
      </c>
      <c r="I190">
        <v>34281</v>
      </c>
      <c r="J190">
        <v>33534</v>
      </c>
      <c r="K190">
        <v>83</v>
      </c>
      <c r="L190">
        <f>SUM(Table2_1[[#This Row],[Likes]:[Comments]])</f>
        <v>4282</v>
      </c>
      <c r="M190" t="s">
        <v>33</v>
      </c>
      <c r="N190" t="s">
        <v>18</v>
      </c>
      <c r="O190" s="67">
        <v>0.12490884163239112</v>
      </c>
      <c r="P190" t="s">
        <v>394</v>
      </c>
      <c r="Q190" t="s">
        <v>33</v>
      </c>
    </row>
    <row r="191" spans="1:17" x14ac:dyDescent="0.3">
      <c r="A191" t="s">
        <v>242</v>
      </c>
      <c r="B191" t="s">
        <v>25</v>
      </c>
      <c r="C191" s="48">
        <v>45629</v>
      </c>
      <c r="D191" t="s">
        <v>20</v>
      </c>
      <c r="E191" t="s">
        <v>77</v>
      </c>
      <c r="F191">
        <v>3711</v>
      </c>
      <c r="G191">
        <v>352</v>
      </c>
      <c r="H191">
        <v>290</v>
      </c>
      <c r="I191">
        <v>48243</v>
      </c>
      <c r="J191">
        <v>47579</v>
      </c>
      <c r="K191">
        <v>11</v>
      </c>
      <c r="L191">
        <f>SUM(Table2_1[[#This Row],[Likes]:[Comments]])</f>
        <v>4353</v>
      </c>
      <c r="M191" t="s">
        <v>27</v>
      </c>
      <c r="N191" t="s">
        <v>18</v>
      </c>
      <c r="O191" s="67">
        <v>9.023070704558174E-2</v>
      </c>
      <c r="P191" t="s">
        <v>394</v>
      </c>
      <c r="Q191" t="s">
        <v>27</v>
      </c>
    </row>
    <row r="192" spans="1:17" x14ac:dyDescent="0.3">
      <c r="A192" t="s">
        <v>253</v>
      </c>
      <c r="B192" t="s">
        <v>25</v>
      </c>
      <c r="C192" s="48">
        <v>45629</v>
      </c>
      <c r="D192" t="s">
        <v>31</v>
      </c>
      <c r="E192" t="s">
        <v>105</v>
      </c>
      <c r="F192">
        <v>4285</v>
      </c>
      <c r="G192">
        <v>886</v>
      </c>
      <c r="H192">
        <v>376</v>
      </c>
      <c r="I192">
        <v>55705</v>
      </c>
      <c r="J192">
        <v>55556</v>
      </c>
      <c r="K192">
        <v>51</v>
      </c>
      <c r="L192">
        <f>SUM(Table2_1[[#This Row],[Likes]:[Comments]])</f>
        <v>5547</v>
      </c>
      <c r="M192" t="s">
        <v>51</v>
      </c>
      <c r="N192" t="s">
        <v>28</v>
      </c>
      <c r="O192" s="67">
        <v>9.9578134817341346E-2</v>
      </c>
      <c r="P192" t="s">
        <v>394</v>
      </c>
      <c r="Q192" t="s">
        <v>51</v>
      </c>
    </row>
    <row r="193" spans="1:17" x14ac:dyDescent="0.3">
      <c r="A193" t="s">
        <v>280</v>
      </c>
      <c r="B193" t="s">
        <v>38</v>
      </c>
      <c r="C193" s="48">
        <v>45629</v>
      </c>
      <c r="D193" t="s">
        <v>44</v>
      </c>
      <c r="E193" t="s">
        <v>49</v>
      </c>
      <c r="F193">
        <v>4606</v>
      </c>
      <c r="G193">
        <v>931</v>
      </c>
      <c r="H193">
        <v>230</v>
      </c>
      <c r="I193">
        <v>92120</v>
      </c>
      <c r="J193">
        <v>91440</v>
      </c>
      <c r="K193">
        <v>56</v>
      </c>
      <c r="L193">
        <f>SUM(Table2_1[[#This Row],[Likes]:[Comments]])</f>
        <v>5767</v>
      </c>
      <c r="M193" t="s">
        <v>27</v>
      </c>
      <c r="N193" t="s">
        <v>397</v>
      </c>
      <c r="O193" s="67">
        <v>6.2603126356925748E-2</v>
      </c>
      <c r="P193" t="s">
        <v>394</v>
      </c>
      <c r="Q193" t="s">
        <v>27</v>
      </c>
    </row>
    <row r="194" spans="1:17" x14ac:dyDescent="0.3">
      <c r="A194" t="s">
        <v>235</v>
      </c>
      <c r="B194" t="s">
        <v>14</v>
      </c>
      <c r="C194" s="48">
        <v>45631</v>
      </c>
      <c r="D194" t="s">
        <v>59</v>
      </c>
      <c r="E194" t="s">
        <v>99</v>
      </c>
      <c r="F194">
        <v>1330</v>
      </c>
      <c r="G194">
        <v>925</v>
      </c>
      <c r="H194">
        <v>35</v>
      </c>
      <c r="I194">
        <v>15960</v>
      </c>
      <c r="J194">
        <v>15379</v>
      </c>
      <c r="K194">
        <v>229</v>
      </c>
      <c r="L194">
        <f>SUM(Table2_1[[#This Row],[Likes]:[Comments]])</f>
        <v>2290</v>
      </c>
      <c r="M194" t="s">
        <v>51</v>
      </c>
      <c r="N194" t="s">
        <v>28</v>
      </c>
      <c r="O194" s="67">
        <v>0.14348370927318296</v>
      </c>
      <c r="P194" t="s">
        <v>394</v>
      </c>
      <c r="Q194" t="s">
        <v>51</v>
      </c>
    </row>
    <row r="195" spans="1:17" x14ac:dyDescent="0.3">
      <c r="A195" t="s">
        <v>125</v>
      </c>
      <c r="B195" t="s">
        <v>30</v>
      </c>
      <c r="C195" s="48">
        <v>45634</v>
      </c>
      <c r="D195" t="s">
        <v>31</v>
      </c>
      <c r="E195" t="s">
        <v>32</v>
      </c>
      <c r="F195">
        <v>2610</v>
      </c>
      <c r="G195">
        <v>126</v>
      </c>
      <c r="H195">
        <v>288</v>
      </c>
      <c r="I195">
        <v>15660</v>
      </c>
      <c r="J195">
        <v>15145</v>
      </c>
      <c r="K195">
        <v>73</v>
      </c>
      <c r="L195">
        <f>SUM(Table2_1[[#This Row],[Likes]:[Comments]])</f>
        <v>3024</v>
      </c>
      <c r="M195" t="s">
        <v>33</v>
      </c>
      <c r="N195" t="s">
        <v>397</v>
      </c>
      <c r="O195" s="67">
        <v>0.19310344827586207</v>
      </c>
      <c r="P195" t="s">
        <v>394</v>
      </c>
      <c r="Q195" t="s">
        <v>33</v>
      </c>
    </row>
    <row r="196" spans="1:17" x14ac:dyDescent="0.3">
      <c r="A196" t="s">
        <v>144</v>
      </c>
      <c r="B196" t="s">
        <v>38</v>
      </c>
      <c r="C196" s="48">
        <v>45635</v>
      </c>
      <c r="D196" t="s">
        <v>44</v>
      </c>
      <c r="E196" t="s">
        <v>49</v>
      </c>
      <c r="F196">
        <v>1841</v>
      </c>
      <c r="G196">
        <v>851</v>
      </c>
      <c r="H196">
        <v>342</v>
      </c>
      <c r="I196">
        <v>34979</v>
      </c>
      <c r="J196">
        <v>34154</v>
      </c>
      <c r="K196">
        <v>255</v>
      </c>
      <c r="L196">
        <f>SUM(Table2_1[[#This Row],[Likes]:[Comments]])</f>
        <v>3034</v>
      </c>
      <c r="M196" t="s">
        <v>51</v>
      </c>
      <c r="N196" t="s">
        <v>34</v>
      </c>
      <c r="O196" s="67">
        <v>8.6737756939878216E-2</v>
      </c>
      <c r="P196" t="s">
        <v>394</v>
      </c>
      <c r="Q196" t="s">
        <v>51</v>
      </c>
    </row>
    <row r="197" spans="1:17" x14ac:dyDescent="0.3">
      <c r="A197" t="s">
        <v>153</v>
      </c>
      <c r="B197" t="s">
        <v>30</v>
      </c>
      <c r="C197" s="48">
        <v>45637</v>
      </c>
      <c r="D197" t="s">
        <v>59</v>
      </c>
      <c r="E197" t="s">
        <v>66</v>
      </c>
      <c r="F197">
        <v>1431</v>
      </c>
      <c r="G197">
        <v>951</v>
      </c>
      <c r="H197">
        <v>26</v>
      </c>
      <c r="I197">
        <v>8586</v>
      </c>
      <c r="J197">
        <v>8396</v>
      </c>
      <c r="K197">
        <v>150</v>
      </c>
      <c r="L197">
        <f>SUM(Table2_1[[#This Row],[Likes]:[Comments]])</f>
        <v>2408</v>
      </c>
      <c r="M197" t="s">
        <v>33</v>
      </c>
      <c r="N197" t="s">
        <v>28</v>
      </c>
      <c r="O197" s="67">
        <v>0.28045655718611695</v>
      </c>
      <c r="P197" t="s">
        <v>394</v>
      </c>
      <c r="Q197" t="s">
        <v>33</v>
      </c>
    </row>
    <row r="198" spans="1:17" x14ac:dyDescent="0.3">
      <c r="A198" t="s">
        <v>227</v>
      </c>
      <c r="B198" t="s">
        <v>14</v>
      </c>
      <c r="C198" s="48">
        <v>45637</v>
      </c>
      <c r="D198" t="s">
        <v>20</v>
      </c>
      <c r="E198" t="s">
        <v>21</v>
      </c>
      <c r="F198">
        <v>3239</v>
      </c>
      <c r="G198">
        <v>43</v>
      </c>
      <c r="H198">
        <v>211</v>
      </c>
      <c r="I198">
        <v>22673</v>
      </c>
      <c r="J198">
        <v>22171</v>
      </c>
      <c r="K198">
        <v>230</v>
      </c>
      <c r="L198">
        <f>SUM(Table2_1[[#This Row],[Likes]:[Comments]])</f>
        <v>3493</v>
      </c>
      <c r="M198" t="s">
        <v>27</v>
      </c>
      <c r="N198" t="s">
        <v>23</v>
      </c>
      <c r="O198" s="67">
        <v>0.15405989502933004</v>
      </c>
      <c r="P198" t="s">
        <v>394</v>
      </c>
      <c r="Q198" t="s">
        <v>27</v>
      </c>
    </row>
    <row r="199" spans="1:17" x14ac:dyDescent="0.3">
      <c r="A199" t="s">
        <v>95</v>
      </c>
      <c r="B199" t="s">
        <v>30</v>
      </c>
      <c r="C199" s="48">
        <v>45640</v>
      </c>
      <c r="D199" t="s">
        <v>39</v>
      </c>
      <c r="E199" t="s">
        <v>68</v>
      </c>
      <c r="F199">
        <v>2174</v>
      </c>
      <c r="G199">
        <v>658</v>
      </c>
      <c r="H199">
        <v>15</v>
      </c>
      <c r="I199">
        <v>13044</v>
      </c>
      <c r="J199">
        <v>12206</v>
      </c>
      <c r="K199">
        <v>137</v>
      </c>
      <c r="L199">
        <f>SUM(Table2_1[[#This Row],[Likes]:[Comments]])</f>
        <v>2847</v>
      </c>
      <c r="M199" t="s">
        <v>27</v>
      </c>
      <c r="N199" t="s">
        <v>28</v>
      </c>
      <c r="O199" s="67">
        <v>0.21826126954921804</v>
      </c>
      <c r="P199" t="s">
        <v>394</v>
      </c>
      <c r="Q199" t="s">
        <v>27</v>
      </c>
    </row>
    <row r="200" spans="1:17" x14ac:dyDescent="0.3">
      <c r="A200" t="s">
        <v>81</v>
      </c>
      <c r="B200" t="s">
        <v>30</v>
      </c>
      <c r="C200" s="48">
        <v>45642</v>
      </c>
      <c r="D200" t="s">
        <v>20</v>
      </c>
      <c r="E200" t="s">
        <v>82</v>
      </c>
      <c r="F200">
        <v>438</v>
      </c>
      <c r="G200">
        <v>153</v>
      </c>
      <c r="H200">
        <v>275</v>
      </c>
      <c r="I200">
        <v>3066</v>
      </c>
      <c r="J200">
        <v>2701</v>
      </c>
      <c r="K200">
        <v>282</v>
      </c>
      <c r="L200">
        <f>SUM(Table2_1[[#This Row],[Likes]:[Comments]])</f>
        <v>866</v>
      </c>
      <c r="M200" t="s">
        <v>27</v>
      </c>
      <c r="N200" t="s">
        <v>23</v>
      </c>
      <c r="O200" s="67">
        <v>0.28245270711024134</v>
      </c>
      <c r="P200" t="s">
        <v>394</v>
      </c>
      <c r="Q200" t="s">
        <v>27</v>
      </c>
    </row>
    <row r="201" spans="1:17" x14ac:dyDescent="0.3">
      <c r="A201" t="s">
        <v>245</v>
      </c>
      <c r="B201" t="s">
        <v>30</v>
      </c>
      <c r="C201" s="48">
        <v>45643</v>
      </c>
      <c r="D201" t="s">
        <v>31</v>
      </c>
      <c r="E201" t="s">
        <v>32</v>
      </c>
      <c r="F201">
        <v>360</v>
      </c>
      <c r="G201">
        <v>590</v>
      </c>
      <c r="H201">
        <v>393</v>
      </c>
      <c r="I201">
        <v>4680</v>
      </c>
      <c r="J201">
        <v>4322</v>
      </c>
      <c r="K201">
        <v>208</v>
      </c>
      <c r="L201">
        <f>SUM(Table2_1[[#This Row],[Likes]:[Comments]])</f>
        <v>1343</v>
      </c>
      <c r="M201" t="s">
        <v>51</v>
      </c>
      <c r="N201" t="s">
        <v>23</v>
      </c>
      <c r="O201" s="67">
        <v>0.28696581196581195</v>
      </c>
      <c r="P201" t="s">
        <v>394</v>
      </c>
      <c r="Q201" t="s">
        <v>51</v>
      </c>
    </row>
    <row r="202" spans="1:17" x14ac:dyDescent="0.3">
      <c r="A202" t="s">
        <v>112</v>
      </c>
      <c r="B202" t="s">
        <v>38</v>
      </c>
      <c r="C202" s="48">
        <v>45644</v>
      </c>
      <c r="D202" t="s">
        <v>39</v>
      </c>
      <c r="E202" t="s">
        <v>40</v>
      </c>
      <c r="F202">
        <v>2946</v>
      </c>
      <c r="G202">
        <v>498</v>
      </c>
      <c r="H202">
        <v>367</v>
      </c>
      <c r="I202">
        <v>29460</v>
      </c>
      <c r="J202">
        <v>28527</v>
      </c>
      <c r="K202">
        <v>60</v>
      </c>
      <c r="L202">
        <f>SUM(Table2_1[[#This Row],[Likes]:[Comments]])</f>
        <v>3811</v>
      </c>
      <c r="M202" t="s">
        <v>51</v>
      </c>
      <c r="N202" t="s">
        <v>28</v>
      </c>
      <c r="O202" s="67">
        <v>0.12936184657162253</v>
      </c>
      <c r="P202" t="s">
        <v>394</v>
      </c>
      <c r="Q202" t="s">
        <v>51</v>
      </c>
    </row>
    <row r="203" spans="1:17" x14ac:dyDescent="0.3">
      <c r="A203" t="s">
        <v>258</v>
      </c>
      <c r="B203" t="s">
        <v>30</v>
      </c>
      <c r="C203" s="48">
        <v>45645</v>
      </c>
      <c r="D203" t="s">
        <v>20</v>
      </c>
      <c r="E203" t="s">
        <v>82</v>
      </c>
      <c r="F203">
        <v>1813</v>
      </c>
      <c r="G203">
        <v>623</v>
      </c>
      <c r="H203">
        <v>72</v>
      </c>
      <c r="I203">
        <v>19943</v>
      </c>
      <c r="J203">
        <v>18959</v>
      </c>
      <c r="K203">
        <v>85</v>
      </c>
      <c r="L203">
        <f>SUM(Table2_1[[#This Row],[Likes]:[Comments]])</f>
        <v>2508</v>
      </c>
      <c r="M203" t="s">
        <v>33</v>
      </c>
      <c r="N203" t="s">
        <v>28</v>
      </c>
      <c r="O203" s="67">
        <v>0.12575841147269717</v>
      </c>
      <c r="P203" t="s">
        <v>394</v>
      </c>
      <c r="Q203" t="s">
        <v>33</v>
      </c>
    </row>
    <row r="204" spans="1:17" x14ac:dyDescent="0.3">
      <c r="A204" t="s">
        <v>358</v>
      </c>
      <c r="B204" t="s">
        <v>30</v>
      </c>
      <c r="C204" s="48">
        <v>45646</v>
      </c>
      <c r="D204" t="s">
        <v>39</v>
      </c>
      <c r="E204" t="s">
        <v>68</v>
      </c>
      <c r="F204">
        <v>2107</v>
      </c>
      <c r="G204">
        <v>550</v>
      </c>
      <c r="H204">
        <v>349</v>
      </c>
      <c r="I204">
        <v>35819</v>
      </c>
      <c r="J204">
        <v>35340</v>
      </c>
      <c r="K204">
        <v>191</v>
      </c>
      <c r="L204">
        <f>SUM(Table2_1[[#This Row],[Likes]:[Comments]])</f>
        <v>3006</v>
      </c>
      <c r="M204" t="s">
        <v>33</v>
      </c>
      <c r="N204" t="s">
        <v>34</v>
      </c>
      <c r="O204" s="67">
        <v>8.3921940869371006E-2</v>
      </c>
      <c r="P204" t="s">
        <v>394</v>
      </c>
      <c r="Q204" t="s">
        <v>33</v>
      </c>
    </row>
    <row r="205" spans="1:17" x14ac:dyDescent="0.3">
      <c r="A205" t="s">
        <v>217</v>
      </c>
      <c r="B205" t="s">
        <v>25</v>
      </c>
      <c r="C205" s="48">
        <v>45647</v>
      </c>
      <c r="D205" t="s">
        <v>44</v>
      </c>
      <c r="E205" t="s">
        <v>45</v>
      </c>
      <c r="F205">
        <v>2283</v>
      </c>
      <c r="G205">
        <v>210</v>
      </c>
      <c r="H205">
        <v>130</v>
      </c>
      <c r="I205">
        <v>22830</v>
      </c>
      <c r="J205">
        <v>22617</v>
      </c>
      <c r="K205">
        <v>143</v>
      </c>
      <c r="L205">
        <f>SUM(Table2_1[[#This Row],[Likes]:[Comments]])</f>
        <v>2623</v>
      </c>
      <c r="M205" t="s">
        <v>51</v>
      </c>
      <c r="N205" t="s">
        <v>23</v>
      </c>
      <c r="O205" s="67">
        <v>0.11489268506351293</v>
      </c>
      <c r="P205" t="s">
        <v>394</v>
      </c>
      <c r="Q205" t="s">
        <v>51</v>
      </c>
    </row>
    <row r="206" spans="1:17" x14ac:dyDescent="0.3">
      <c r="A206" t="s">
        <v>249</v>
      </c>
      <c r="B206" t="s">
        <v>14</v>
      </c>
      <c r="C206" s="48">
        <v>45648</v>
      </c>
      <c r="D206" t="s">
        <v>15</v>
      </c>
      <c r="E206" t="s">
        <v>16</v>
      </c>
      <c r="F206">
        <v>1644</v>
      </c>
      <c r="G206">
        <v>546</v>
      </c>
      <c r="H206">
        <v>150</v>
      </c>
      <c r="I206">
        <v>27948</v>
      </c>
      <c r="J206">
        <v>27184</v>
      </c>
      <c r="K206">
        <v>300</v>
      </c>
      <c r="L206">
        <f>SUM(Table2_1[[#This Row],[Likes]:[Comments]])</f>
        <v>2340</v>
      </c>
      <c r="M206" t="s">
        <v>33</v>
      </c>
      <c r="N206" t="s">
        <v>28</v>
      </c>
      <c r="O206" s="67">
        <v>8.3726921425504502E-2</v>
      </c>
      <c r="P206" t="s">
        <v>394</v>
      </c>
      <c r="Q206" t="s">
        <v>33</v>
      </c>
    </row>
    <row r="207" spans="1:17" x14ac:dyDescent="0.3">
      <c r="A207" t="s">
        <v>299</v>
      </c>
      <c r="B207" t="s">
        <v>38</v>
      </c>
      <c r="C207" s="48">
        <v>45648</v>
      </c>
      <c r="D207" t="s">
        <v>44</v>
      </c>
      <c r="E207" t="s">
        <v>49</v>
      </c>
      <c r="F207">
        <v>3196</v>
      </c>
      <c r="G207">
        <v>941</v>
      </c>
      <c r="H207">
        <v>376</v>
      </c>
      <c r="I207">
        <v>35156</v>
      </c>
      <c r="J207">
        <v>34444</v>
      </c>
      <c r="K207">
        <v>241</v>
      </c>
      <c r="L207">
        <f>SUM(Table2_1[[#This Row],[Likes]:[Comments]])</f>
        <v>4513</v>
      </c>
      <c r="M207" t="s">
        <v>27</v>
      </c>
      <c r="N207" t="s">
        <v>28</v>
      </c>
      <c r="O207" s="67">
        <v>0.1283706906360223</v>
      </c>
      <c r="P207" t="s">
        <v>394</v>
      </c>
      <c r="Q207" t="s">
        <v>27</v>
      </c>
    </row>
    <row r="208" spans="1:17" x14ac:dyDescent="0.3">
      <c r="A208" t="s">
        <v>13</v>
      </c>
      <c r="B208" t="s">
        <v>14</v>
      </c>
      <c r="C208" s="48">
        <v>45649</v>
      </c>
      <c r="D208" t="s">
        <v>15</v>
      </c>
      <c r="E208" t="s">
        <v>16</v>
      </c>
      <c r="F208">
        <v>1461</v>
      </c>
      <c r="G208">
        <v>184</v>
      </c>
      <c r="H208">
        <v>344</v>
      </c>
      <c r="I208">
        <v>21915</v>
      </c>
      <c r="J208">
        <v>21675</v>
      </c>
      <c r="K208">
        <v>15</v>
      </c>
      <c r="L208">
        <f>SUM(Table2_1[[#This Row],[Likes]:[Comments]])</f>
        <v>1989</v>
      </c>
      <c r="M208" t="s">
        <v>17</v>
      </c>
      <c r="N208" t="s">
        <v>18</v>
      </c>
      <c r="O208" s="67">
        <v>9.0759753593429152E-2</v>
      </c>
      <c r="P208" t="s">
        <v>394</v>
      </c>
      <c r="Q208" t="s">
        <v>51</v>
      </c>
    </row>
    <row r="209" spans="1:17" x14ac:dyDescent="0.3">
      <c r="A209" t="s">
        <v>13</v>
      </c>
      <c r="B209" t="s">
        <v>14</v>
      </c>
      <c r="C209" s="48">
        <v>45649</v>
      </c>
      <c r="D209" t="s">
        <v>15</v>
      </c>
      <c r="E209" t="s">
        <v>16</v>
      </c>
      <c r="F209">
        <v>1461</v>
      </c>
      <c r="G209">
        <v>184</v>
      </c>
      <c r="H209">
        <v>344</v>
      </c>
      <c r="I209">
        <v>21915</v>
      </c>
      <c r="J209">
        <v>21675</v>
      </c>
      <c r="K209">
        <v>15</v>
      </c>
      <c r="L209">
        <f>SUM(Table2_1[[#This Row],[Likes]:[Comments]])</f>
        <v>1989</v>
      </c>
      <c r="M209" t="s">
        <v>17</v>
      </c>
      <c r="N209" t="s">
        <v>18</v>
      </c>
      <c r="O209" s="67">
        <v>9.0759753593429152E-2</v>
      </c>
      <c r="P209" t="s">
        <v>395</v>
      </c>
      <c r="Q209" t="s">
        <v>392</v>
      </c>
    </row>
    <row r="210" spans="1:17" x14ac:dyDescent="0.3">
      <c r="A210" t="s">
        <v>277</v>
      </c>
      <c r="B210" t="s">
        <v>30</v>
      </c>
      <c r="C210" s="48">
        <v>45649</v>
      </c>
      <c r="D210" t="s">
        <v>44</v>
      </c>
      <c r="E210" t="s">
        <v>140</v>
      </c>
      <c r="F210">
        <v>521</v>
      </c>
      <c r="G210">
        <v>746</v>
      </c>
      <c r="H210">
        <v>315</v>
      </c>
      <c r="I210">
        <v>4168</v>
      </c>
      <c r="J210">
        <v>3399</v>
      </c>
      <c r="K210">
        <v>282</v>
      </c>
      <c r="L210">
        <f>SUM(Table2_1[[#This Row],[Likes]:[Comments]])</f>
        <v>1582</v>
      </c>
      <c r="M210" t="s">
        <v>51</v>
      </c>
      <c r="N210" t="s">
        <v>23</v>
      </c>
      <c r="O210" s="67">
        <v>0.37955854126679461</v>
      </c>
      <c r="P210" t="s">
        <v>394</v>
      </c>
      <c r="Q210" t="s">
        <v>51</v>
      </c>
    </row>
    <row r="211" spans="1:17" x14ac:dyDescent="0.3">
      <c r="A211" t="s">
        <v>365</v>
      </c>
      <c r="B211" t="s">
        <v>14</v>
      </c>
      <c r="C211" s="48">
        <v>45650</v>
      </c>
      <c r="D211" t="s">
        <v>20</v>
      </c>
      <c r="E211" t="s">
        <v>21</v>
      </c>
      <c r="F211">
        <v>2166</v>
      </c>
      <c r="G211">
        <v>354</v>
      </c>
      <c r="H211">
        <v>117</v>
      </c>
      <c r="I211">
        <v>10830</v>
      </c>
      <c r="J211">
        <v>10245</v>
      </c>
      <c r="K211">
        <v>24</v>
      </c>
      <c r="L211">
        <f>SUM(Table2_1[[#This Row],[Likes]:[Comments]])</f>
        <v>2637</v>
      </c>
      <c r="M211" t="s">
        <v>33</v>
      </c>
      <c r="N211" t="s">
        <v>34</v>
      </c>
      <c r="O211" s="67">
        <v>0.24349030470914126</v>
      </c>
      <c r="P211" t="s">
        <v>394</v>
      </c>
      <c r="Q211" t="s">
        <v>33</v>
      </c>
    </row>
    <row r="212" spans="1:17" x14ac:dyDescent="0.3">
      <c r="A212" t="s">
        <v>270</v>
      </c>
      <c r="B212" t="s">
        <v>14</v>
      </c>
      <c r="C212" s="48">
        <v>45655</v>
      </c>
      <c r="D212" t="s">
        <v>39</v>
      </c>
      <c r="E212" t="s">
        <v>42</v>
      </c>
      <c r="F212">
        <v>4274</v>
      </c>
      <c r="G212">
        <v>340</v>
      </c>
      <c r="H212">
        <v>281</v>
      </c>
      <c r="I212">
        <v>34192</v>
      </c>
      <c r="J212">
        <v>33446</v>
      </c>
      <c r="K212">
        <v>129</v>
      </c>
      <c r="L212">
        <f>SUM(Table2_1[[#This Row],[Likes]:[Comments]])</f>
        <v>4895</v>
      </c>
      <c r="M212" t="s">
        <v>268</v>
      </c>
      <c r="N212" t="s">
        <v>28</v>
      </c>
      <c r="O212" s="67">
        <v>0.14316214319138981</v>
      </c>
      <c r="P212" t="s">
        <v>394</v>
      </c>
      <c r="Q212" t="s">
        <v>27</v>
      </c>
    </row>
    <row r="213" spans="1:17" x14ac:dyDescent="0.3">
      <c r="A213" t="s">
        <v>270</v>
      </c>
      <c r="B213" t="s">
        <v>14</v>
      </c>
      <c r="C213" s="48">
        <v>45655</v>
      </c>
      <c r="D213" t="s">
        <v>39</v>
      </c>
      <c r="E213" t="s">
        <v>42</v>
      </c>
      <c r="F213">
        <v>4274</v>
      </c>
      <c r="G213">
        <v>340</v>
      </c>
      <c r="H213">
        <v>281</v>
      </c>
      <c r="I213">
        <v>34192</v>
      </c>
      <c r="J213">
        <v>33446</v>
      </c>
      <c r="K213">
        <v>129</v>
      </c>
      <c r="L213">
        <f>SUM(Table2_1[[#This Row],[Likes]:[Comments]])</f>
        <v>4895</v>
      </c>
      <c r="M213" t="s">
        <v>268</v>
      </c>
      <c r="N213" t="s">
        <v>28</v>
      </c>
      <c r="O213" s="67">
        <v>0.14316214319138981</v>
      </c>
      <c r="P213" t="s">
        <v>395</v>
      </c>
      <c r="Q213" t="s">
        <v>388</v>
      </c>
    </row>
    <row r="214" spans="1:17" x14ac:dyDescent="0.3">
      <c r="A214" t="s">
        <v>233</v>
      </c>
      <c r="B214" t="s">
        <v>25</v>
      </c>
      <c r="C214" s="48">
        <v>45657</v>
      </c>
      <c r="D214" t="s">
        <v>59</v>
      </c>
      <c r="E214" t="s">
        <v>143</v>
      </c>
      <c r="F214">
        <v>1018</v>
      </c>
      <c r="G214">
        <v>447</v>
      </c>
      <c r="H214">
        <v>332</v>
      </c>
      <c r="I214">
        <v>18324</v>
      </c>
      <c r="J214">
        <v>18164</v>
      </c>
      <c r="K214">
        <v>38</v>
      </c>
      <c r="L214">
        <f>SUM(Table2_1[[#This Row],[Likes]:[Comments]])</f>
        <v>1797</v>
      </c>
      <c r="M214" t="s">
        <v>51</v>
      </c>
      <c r="N214" t="s">
        <v>23</v>
      </c>
      <c r="O214" s="67">
        <v>9.8068107400130972E-2</v>
      </c>
      <c r="P214" t="s">
        <v>394</v>
      </c>
      <c r="Q214" t="s">
        <v>51</v>
      </c>
    </row>
    <row r="215" spans="1:17" x14ac:dyDescent="0.3">
      <c r="A215" t="s">
        <v>215</v>
      </c>
      <c r="B215" t="s">
        <v>14</v>
      </c>
      <c r="C215" s="48">
        <v>45658</v>
      </c>
      <c r="D215" t="s">
        <v>59</v>
      </c>
      <c r="E215" t="s">
        <v>99</v>
      </c>
      <c r="F215">
        <v>754</v>
      </c>
      <c r="G215">
        <v>197</v>
      </c>
      <c r="H215">
        <v>257</v>
      </c>
      <c r="I215">
        <v>6786</v>
      </c>
      <c r="J215">
        <v>6221</v>
      </c>
      <c r="K215">
        <v>212</v>
      </c>
      <c r="L215">
        <f>SUM(Table2_1[[#This Row],[Likes]:[Comments]])</f>
        <v>1208</v>
      </c>
      <c r="M215" t="s">
        <v>27</v>
      </c>
      <c r="N215" t="s">
        <v>28</v>
      </c>
      <c r="O215" s="67">
        <v>0.17801355732390214</v>
      </c>
      <c r="P215" t="s">
        <v>394</v>
      </c>
      <c r="Q215" t="s">
        <v>27</v>
      </c>
    </row>
    <row r="216" spans="1:17" x14ac:dyDescent="0.3">
      <c r="A216" t="s">
        <v>266</v>
      </c>
      <c r="B216" t="s">
        <v>30</v>
      </c>
      <c r="C216" s="48">
        <v>45658</v>
      </c>
      <c r="D216" t="s">
        <v>39</v>
      </c>
      <c r="E216" t="s">
        <v>68</v>
      </c>
      <c r="F216">
        <v>2234</v>
      </c>
      <c r="G216">
        <v>653</v>
      </c>
      <c r="H216">
        <v>432</v>
      </c>
      <c r="I216">
        <v>11170</v>
      </c>
      <c r="J216">
        <v>10569</v>
      </c>
      <c r="K216">
        <v>198</v>
      </c>
      <c r="L216">
        <f>SUM(Table2_1[[#This Row],[Likes]:[Comments]])</f>
        <v>3319</v>
      </c>
      <c r="M216" t="s">
        <v>51</v>
      </c>
      <c r="N216" t="s">
        <v>28</v>
      </c>
      <c r="O216" s="67">
        <v>0.29713518352730528</v>
      </c>
      <c r="P216" t="s">
        <v>394</v>
      </c>
      <c r="Q216" t="s">
        <v>51</v>
      </c>
    </row>
    <row r="217" spans="1:17" x14ac:dyDescent="0.3">
      <c r="A217" t="s">
        <v>342</v>
      </c>
      <c r="B217" t="s">
        <v>14</v>
      </c>
      <c r="C217" s="48">
        <v>45658</v>
      </c>
      <c r="D217" t="s">
        <v>39</v>
      </c>
      <c r="E217" t="s">
        <v>42</v>
      </c>
      <c r="F217">
        <v>3535</v>
      </c>
      <c r="G217">
        <v>494</v>
      </c>
      <c r="H217">
        <v>152</v>
      </c>
      <c r="I217">
        <v>53025</v>
      </c>
      <c r="J217">
        <v>52791</v>
      </c>
      <c r="K217">
        <v>44</v>
      </c>
      <c r="L217">
        <f>SUM(Table2_1[[#This Row],[Likes]:[Comments]])</f>
        <v>4181</v>
      </c>
      <c r="M217" t="s">
        <v>27</v>
      </c>
      <c r="N217" t="s">
        <v>34</v>
      </c>
      <c r="O217" s="67">
        <v>7.8849599245638849E-2</v>
      </c>
      <c r="P217" t="s">
        <v>394</v>
      </c>
      <c r="Q217" t="s">
        <v>27</v>
      </c>
    </row>
    <row r="218" spans="1:17" x14ac:dyDescent="0.3">
      <c r="A218" t="s">
        <v>107</v>
      </c>
      <c r="B218" t="s">
        <v>38</v>
      </c>
      <c r="C218" s="48">
        <v>45660</v>
      </c>
      <c r="D218" t="s">
        <v>44</v>
      </c>
      <c r="E218" t="s">
        <v>49</v>
      </c>
      <c r="F218">
        <v>947</v>
      </c>
      <c r="G218">
        <v>338</v>
      </c>
      <c r="H218">
        <v>350</v>
      </c>
      <c r="I218">
        <v>10417</v>
      </c>
      <c r="J218">
        <v>9730</v>
      </c>
      <c r="K218">
        <v>34</v>
      </c>
      <c r="L218">
        <f>SUM(Table2_1[[#This Row],[Likes]:[Comments]])</f>
        <v>1635</v>
      </c>
      <c r="M218" t="s">
        <v>27</v>
      </c>
      <c r="N218" t="s">
        <v>34</v>
      </c>
      <c r="O218" s="67">
        <v>0.1569549774407219</v>
      </c>
      <c r="P218" t="s">
        <v>394</v>
      </c>
      <c r="Q218" t="s">
        <v>27</v>
      </c>
    </row>
    <row r="219" spans="1:17" x14ac:dyDescent="0.3">
      <c r="A219" t="s">
        <v>69</v>
      </c>
      <c r="B219" t="s">
        <v>30</v>
      </c>
      <c r="C219" s="48">
        <v>45661</v>
      </c>
      <c r="D219" t="s">
        <v>15</v>
      </c>
      <c r="E219" t="s">
        <v>64</v>
      </c>
      <c r="F219">
        <v>4838</v>
      </c>
      <c r="G219">
        <v>640</v>
      </c>
      <c r="H219">
        <v>128</v>
      </c>
      <c r="I219">
        <v>72570</v>
      </c>
      <c r="J219">
        <v>72396</v>
      </c>
      <c r="K219">
        <v>83</v>
      </c>
      <c r="L219">
        <f>SUM(Table2_1[[#This Row],[Likes]:[Comments]])</f>
        <v>5606</v>
      </c>
      <c r="M219" t="s">
        <v>51</v>
      </c>
      <c r="N219" t="s">
        <v>34</v>
      </c>
      <c r="O219" s="67">
        <v>7.7249552156538517E-2</v>
      </c>
      <c r="P219" t="s">
        <v>394</v>
      </c>
      <c r="Q219" t="s">
        <v>51</v>
      </c>
    </row>
    <row r="220" spans="1:17" x14ac:dyDescent="0.3">
      <c r="A220" t="s">
        <v>88</v>
      </c>
      <c r="B220" t="s">
        <v>38</v>
      </c>
      <c r="C220" s="48">
        <v>45663</v>
      </c>
      <c r="D220" t="s">
        <v>39</v>
      </c>
      <c r="E220" t="s">
        <v>40</v>
      </c>
      <c r="F220">
        <v>3024</v>
      </c>
      <c r="G220">
        <v>925</v>
      </c>
      <c r="H220">
        <v>350</v>
      </c>
      <c r="I220">
        <v>24192</v>
      </c>
      <c r="J220">
        <v>23518</v>
      </c>
      <c r="K220">
        <v>36</v>
      </c>
      <c r="L220">
        <f>SUM(Table2_1[[#This Row],[Likes]:[Comments]])</f>
        <v>4299</v>
      </c>
      <c r="M220" t="s">
        <v>33</v>
      </c>
      <c r="N220" t="s">
        <v>23</v>
      </c>
      <c r="O220" s="67">
        <v>0.17770337301587302</v>
      </c>
      <c r="P220" t="s">
        <v>394</v>
      </c>
      <c r="Q220" t="s">
        <v>33</v>
      </c>
    </row>
    <row r="221" spans="1:17" x14ac:dyDescent="0.3">
      <c r="A221" t="s">
        <v>149</v>
      </c>
      <c r="B221" t="s">
        <v>14</v>
      </c>
      <c r="C221" s="48">
        <v>45667</v>
      </c>
      <c r="D221" t="s">
        <v>44</v>
      </c>
      <c r="E221" t="s">
        <v>92</v>
      </c>
      <c r="F221">
        <v>2214</v>
      </c>
      <c r="G221">
        <v>249</v>
      </c>
      <c r="H221">
        <v>152</v>
      </c>
      <c r="I221">
        <v>15498</v>
      </c>
      <c r="J221">
        <v>14800</v>
      </c>
      <c r="K221">
        <v>180</v>
      </c>
      <c r="L221">
        <f>SUM(Table2_1[[#This Row],[Likes]:[Comments]])</f>
        <v>2615</v>
      </c>
      <c r="M221" t="s">
        <v>33</v>
      </c>
      <c r="N221" t="s">
        <v>397</v>
      </c>
      <c r="O221" s="67">
        <v>0.16873144921925409</v>
      </c>
      <c r="P221" t="s">
        <v>394</v>
      </c>
      <c r="Q221" t="s">
        <v>33</v>
      </c>
    </row>
    <row r="222" spans="1:17" x14ac:dyDescent="0.3">
      <c r="A222" t="s">
        <v>188</v>
      </c>
      <c r="B222" t="s">
        <v>14</v>
      </c>
      <c r="C222" s="48">
        <v>45667</v>
      </c>
      <c r="D222" t="s">
        <v>44</v>
      </c>
      <c r="E222" t="s">
        <v>92</v>
      </c>
      <c r="F222">
        <v>3092</v>
      </c>
      <c r="G222">
        <v>106</v>
      </c>
      <c r="H222">
        <v>291</v>
      </c>
      <c r="I222">
        <v>27828</v>
      </c>
      <c r="J222">
        <v>27217</v>
      </c>
      <c r="K222">
        <v>102</v>
      </c>
      <c r="L222">
        <f>SUM(Table2_1[[#This Row],[Likes]:[Comments]])</f>
        <v>3489</v>
      </c>
      <c r="M222" t="s">
        <v>51</v>
      </c>
      <c r="N222" t="s">
        <v>397</v>
      </c>
      <c r="O222" s="67">
        <v>0.12537731780940059</v>
      </c>
      <c r="P222" t="s">
        <v>394</v>
      </c>
      <c r="Q222" t="s">
        <v>51</v>
      </c>
    </row>
    <row r="223" spans="1:17" x14ac:dyDescent="0.3">
      <c r="A223" t="s">
        <v>247</v>
      </c>
      <c r="B223" t="s">
        <v>30</v>
      </c>
      <c r="C223" s="48">
        <v>45668</v>
      </c>
      <c r="D223" t="s">
        <v>39</v>
      </c>
      <c r="E223" t="s">
        <v>68</v>
      </c>
      <c r="F223">
        <v>4523</v>
      </c>
      <c r="G223">
        <v>61</v>
      </c>
      <c r="H223">
        <v>157</v>
      </c>
      <c r="I223">
        <v>49753</v>
      </c>
      <c r="J223">
        <v>49329</v>
      </c>
      <c r="K223">
        <v>71</v>
      </c>
      <c r="L223">
        <f>SUM(Table2_1[[#This Row],[Likes]:[Comments]])</f>
        <v>4741</v>
      </c>
      <c r="M223" t="s">
        <v>33</v>
      </c>
      <c r="N223" t="s">
        <v>397</v>
      </c>
      <c r="O223" s="67">
        <v>9.5290736237010829E-2</v>
      </c>
      <c r="P223" t="s">
        <v>394</v>
      </c>
      <c r="Q223" t="s">
        <v>33</v>
      </c>
    </row>
    <row r="224" spans="1:17" x14ac:dyDescent="0.3">
      <c r="A224" t="s">
        <v>310</v>
      </c>
      <c r="B224" t="s">
        <v>38</v>
      </c>
      <c r="C224" s="48">
        <v>45669</v>
      </c>
      <c r="D224" t="s">
        <v>15</v>
      </c>
      <c r="E224" t="s">
        <v>53</v>
      </c>
      <c r="F224">
        <v>4134</v>
      </c>
      <c r="G224">
        <v>824</v>
      </c>
      <c r="H224">
        <v>99</v>
      </c>
      <c r="I224">
        <v>41340</v>
      </c>
      <c r="J224">
        <v>41050</v>
      </c>
      <c r="K224">
        <v>177</v>
      </c>
      <c r="L224">
        <f>SUM(Table2_1[[#This Row],[Likes]:[Comments]])</f>
        <v>5057</v>
      </c>
      <c r="M224" t="s">
        <v>33</v>
      </c>
      <c r="N224" t="s">
        <v>18</v>
      </c>
      <c r="O224" s="67">
        <v>0.12232704402515723</v>
      </c>
      <c r="P224" t="s">
        <v>394</v>
      </c>
      <c r="Q224" t="s">
        <v>33</v>
      </c>
    </row>
    <row r="225" spans="1:17" x14ac:dyDescent="0.3">
      <c r="A225" t="s">
        <v>320</v>
      </c>
      <c r="B225" t="s">
        <v>14</v>
      </c>
      <c r="C225" s="48">
        <v>45671</v>
      </c>
      <c r="D225" t="s">
        <v>44</v>
      </c>
      <c r="E225" t="s">
        <v>92</v>
      </c>
      <c r="F225">
        <v>2692</v>
      </c>
      <c r="G225">
        <v>115</v>
      </c>
      <c r="H225">
        <v>64</v>
      </c>
      <c r="I225">
        <v>21536</v>
      </c>
      <c r="J225">
        <v>21120</v>
      </c>
      <c r="K225">
        <v>224</v>
      </c>
      <c r="L225">
        <f>SUM(Table2_1[[#This Row],[Likes]:[Comments]])</f>
        <v>2871</v>
      </c>
      <c r="M225" t="s">
        <v>51</v>
      </c>
      <c r="N225" t="s">
        <v>23</v>
      </c>
      <c r="O225" s="67">
        <v>0.13331166419019316</v>
      </c>
      <c r="P225" t="s">
        <v>394</v>
      </c>
      <c r="Q225" t="s">
        <v>51</v>
      </c>
    </row>
    <row r="226" spans="1:17" x14ac:dyDescent="0.3">
      <c r="A226" t="s">
        <v>263</v>
      </c>
      <c r="B226" t="s">
        <v>14</v>
      </c>
      <c r="C226" s="48">
        <v>45672</v>
      </c>
      <c r="D226" t="s">
        <v>15</v>
      </c>
      <c r="E226" t="s">
        <v>16</v>
      </c>
      <c r="F226">
        <v>802</v>
      </c>
      <c r="G226">
        <v>262</v>
      </c>
      <c r="H226">
        <v>244</v>
      </c>
      <c r="I226">
        <v>14436</v>
      </c>
      <c r="J226">
        <v>14280</v>
      </c>
      <c r="K226">
        <v>49</v>
      </c>
      <c r="L226">
        <f>SUM(Table2_1[[#This Row],[Likes]:[Comments]])</f>
        <v>1308</v>
      </c>
      <c r="M226" t="s">
        <v>33</v>
      </c>
      <c r="N226" t="s">
        <v>18</v>
      </c>
      <c r="O226" s="67">
        <v>9.0606816292601824E-2</v>
      </c>
      <c r="P226" t="s">
        <v>394</v>
      </c>
      <c r="Q226" t="s">
        <v>33</v>
      </c>
    </row>
    <row r="227" spans="1:17" x14ac:dyDescent="0.3">
      <c r="A227" t="s">
        <v>338</v>
      </c>
      <c r="B227" t="s">
        <v>25</v>
      </c>
      <c r="C227" s="48">
        <v>45672</v>
      </c>
      <c r="D227" t="s">
        <v>15</v>
      </c>
      <c r="E227" t="s">
        <v>26</v>
      </c>
      <c r="F227">
        <v>3774</v>
      </c>
      <c r="G227">
        <v>239</v>
      </c>
      <c r="H227">
        <v>39</v>
      </c>
      <c r="I227">
        <v>60384</v>
      </c>
      <c r="J227">
        <v>59490</v>
      </c>
      <c r="K227">
        <v>241</v>
      </c>
      <c r="L227">
        <f>SUM(Table2_1[[#This Row],[Likes]:[Comments]])</f>
        <v>4052</v>
      </c>
      <c r="M227" t="s">
        <v>27</v>
      </c>
      <c r="N227" t="s">
        <v>28</v>
      </c>
      <c r="O227" s="67">
        <v>6.7103868574456813E-2</v>
      </c>
      <c r="P227" t="s">
        <v>394</v>
      </c>
      <c r="Q227" t="s">
        <v>27</v>
      </c>
    </row>
    <row r="228" spans="1:17" x14ac:dyDescent="0.3">
      <c r="A228" t="s">
        <v>237</v>
      </c>
      <c r="B228" t="s">
        <v>30</v>
      </c>
      <c r="C228" s="48">
        <v>45674</v>
      </c>
      <c r="D228" t="s">
        <v>15</v>
      </c>
      <c r="E228" t="s">
        <v>64</v>
      </c>
      <c r="F228">
        <v>142</v>
      </c>
      <c r="G228">
        <v>784</v>
      </c>
      <c r="H228">
        <v>183</v>
      </c>
      <c r="I228">
        <v>1704</v>
      </c>
      <c r="J228">
        <v>995</v>
      </c>
      <c r="K228">
        <v>154</v>
      </c>
      <c r="L228">
        <f>SUM(Table2_1[[#This Row],[Likes]:[Comments]])</f>
        <v>1109</v>
      </c>
      <c r="M228" t="s">
        <v>51</v>
      </c>
      <c r="N228" t="s">
        <v>34</v>
      </c>
      <c r="O228" s="67">
        <v>0.6508215962441315</v>
      </c>
      <c r="P228" t="s">
        <v>394</v>
      </c>
      <c r="Q228" t="s">
        <v>51</v>
      </c>
    </row>
    <row r="229" spans="1:17" x14ac:dyDescent="0.3">
      <c r="A229" t="s">
        <v>306</v>
      </c>
      <c r="B229" t="s">
        <v>38</v>
      </c>
      <c r="C229" s="48">
        <v>45675</v>
      </c>
      <c r="D229" t="s">
        <v>31</v>
      </c>
      <c r="E229" t="s">
        <v>57</v>
      </c>
      <c r="F229">
        <v>4321</v>
      </c>
      <c r="G229">
        <v>874</v>
      </c>
      <c r="H229">
        <v>172</v>
      </c>
      <c r="I229">
        <v>30247</v>
      </c>
      <c r="J229">
        <v>29254</v>
      </c>
      <c r="K229">
        <v>122</v>
      </c>
      <c r="L229">
        <f>SUM(Table2_1[[#This Row],[Likes]:[Comments]])</f>
        <v>5367</v>
      </c>
      <c r="M229" t="s">
        <v>27</v>
      </c>
      <c r="N229" t="s">
        <v>34</v>
      </c>
      <c r="O229" s="67">
        <v>0.17743908486792079</v>
      </c>
      <c r="P229" t="s">
        <v>394</v>
      </c>
      <c r="Q229" t="s">
        <v>27</v>
      </c>
    </row>
    <row r="230" spans="1:17" x14ac:dyDescent="0.3">
      <c r="A230" t="s">
        <v>330</v>
      </c>
      <c r="B230" t="s">
        <v>25</v>
      </c>
      <c r="C230" s="48">
        <v>45675</v>
      </c>
      <c r="D230" t="s">
        <v>44</v>
      </c>
      <c r="E230" t="s">
        <v>45</v>
      </c>
      <c r="F230">
        <v>1206</v>
      </c>
      <c r="G230">
        <v>238</v>
      </c>
      <c r="H230">
        <v>36</v>
      </c>
      <c r="I230">
        <v>9648</v>
      </c>
      <c r="J230">
        <v>9417</v>
      </c>
      <c r="K230">
        <v>237</v>
      </c>
      <c r="L230">
        <f>SUM(Table2_1[[#This Row],[Likes]:[Comments]])</f>
        <v>1480</v>
      </c>
      <c r="M230" t="s">
        <v>27</v>
      </c>
      <c r="N230" t="s">
        <v>397</v>
      </c>
      <c r="O230" s="67">
        <v>0.15339966832504145</v>
      </c>
      <c r="P230" t="s">
        <v>394</v>
      </c>
      <c r="Q230" t="s">
        <v>27</v>
      </c>
    </row>
    <row r="231" spans="1:17" x14ac:dyDescent="0.3">
      <c r="A231" t="s">
        <v>73</v>
      </c>
      <c r="B231" t="s">
        <v>38</v>
      </c>
      <c r="C231" s="48">
        <v>45680</v>
      </c>
      <c r="D231" t="s">
        <v>59</v>
      </c>
      <c r="E231" t="s">
        <v>60</v>
      </c>
      <c r="F231">
        <v>3961</v>
      </c>
      <c r="G231">
        <v>761</v>
      </c>
      <c r="H231">
        <v>131</v>
      </c>
      <c r="I231">
        <v>67337</v>
      </c>
      <c r="J231">
        <v>66615</v>
      </c>
      <c r="K231">
        <v>161</v>
      </c>
      <c r="L231">
        <f>SUM(Table2_1[[#This Row],[Likes]:[Comments]])</f>
        <v>4853</v>
      </c>
      <c r="M231" t="s">
        <v>51</v>
      </c>
      <c r="N231" t="s">
        <v>28</v>
      </c>
      <c r="O231" s="67">
        <v>7.2070332803659209E-2</v>
      </c>
      <c r="P231" t="s">
        <v>394</v>
      </c>
      <c r="Q231" t="s">
        <v>51</v>
      </c>
    </row>
    <row r="232" spans="1:17" x14ac:dyDescent="0.3">
      <c r="A232" t="s">
        <v>146</v>
      </c>
      <c r="B232" t="s">
        <v>25</v>
      </c>
      <c r="C232" s="48">
        <v>45684</v>
      </c>
      <c r="D232" t="s">
        <v>20</v>
      </c>
      <c r="E232" t="s">
        <v>77</v>
      </c>
      <c r="F232">
        <v>3428</v>
      </c>
      <c r="G232">
        <v>305</v>
      </c>
      <c r="H232">
        <v>85</v>
      </c>
      <c r="I232">
        <v>58276</v>
      </c>
      <c r="J232">
        <v>58052</v>
      </c>
      <c r="K232">
        <v>242</v>
      </c>
      <c r="L232">
        <f>SUM(Table2_1[[#This Row],[Likes]:[Comments]])</f>
        <v>3818</v>
      </c>
      <c r="M232" t="s">
        <v>109</v>
      </c>
      <c r="N232" t="s">
        <v>34</v>
      </c>
      <c r="O232" s="67">
        <v>6.5515821264328367E-2</v>
      </c>
      <c r="P232" t="s">
        <v>394</v>
      </c>
      <c r="Q232" t="s">
        <v>33</v>
      </c>
    </row>
    <row r="233" spans="1:17" x14ac:dyDescent="0.3">
      <c r="A233" t="s">
        <v>146</v>
      </c>
      <c r="B233" t="s">
        <v>25</v>
      </c>
      <c r="C233" s="48">
        <v>45684</v>
      </c>
      <c r="D233" t="s">
        <v>20</v>
      </c>
      <c r="E233" t="s">
        <v>77</v>
      </c>
      <c r="F233">
        <v>3428</v>
      </c>
      <c r="G233">
        <v>305</v>
      </c>
      <c r="H233">
        <v>85</v>
      </c>
      <c r="I233">
        <v>58276</v>
      </c>
      <c r="J233">
        <v>58052</v>
      </c>
      <c r="K233">
        <v>242</v>
      </c>
      <c r="L233">
        <f>SUM(Table2_1[[#This Row],[Likes]:[Comments]])</f>
        <v>3818</v>
      </c>
      <c r="M233" t="s">
        <v>109</v>
      </c>
      <c r="N233" t="s">
        <v>34</v>
      </c>
      <c r="O233" s="67">
        <v>6.5515821264328367E-2</v>
      </c>
      <c r="P233" t="s">
        <v>395</v>
      </c>
      <c r="Q233" t="s">
        <v>393</v>
      </c>
    </row>
    <row r="234" spans="1:17" x14ac:dyDescent="0.3">
      <c r="A234" t="s">
        <v>187</v>
      </c>
      <c r="B234" t="s">
        <v>38</v>
      </c>
      <c r="C234" s="48">
        <v>45684</v>
      </c>
      <c r="D234" t="s">
        <v>15</v>
      </c>
      <c r="E234" t="s">
        <v>53</v>
      </c>
      <c r="F234">
        <v>3452</v>
      </c>
      <c r="G234">
        <v>652</v>
      </c>
      <c r="H234">
        <v>442</v>
      </c>
      <c r="I234">
        <v>65588</v>
      </c>
      <c r="J234">
        <v>65049</v>
      </c>
      <c r="K234">
        <v>158</v>
      </c>
      <c r="L234">
        <f>SUM(Table2_1[[#This Row],[Likes]:[Comments]])</f>
        <v>4546</v>
      </c>
      <c r="M234" t="s">
        <v>51</v>
      </c>
      <c r="N234" t="s">
        <v>28</v>
      </c>
      <c r="O234" s="67">
        <v>6.9311459413307311E-2</v>
      </c>
      <c r="P234" t="s">
        <v>394</v>
      </c>
      <c r="Q234" t="s">
        <v>51</v>
      </c>
    </row>
    <row r="235" spans="1:17" x14ac:dyDescent="0.3">
      <c r="A235" t="s">
        <v>116</v>
      </c>
      <c r="B235" t="s">
        <v>30</v>
      </c>
      <c r="C235" s="48">
        <v>45685</v>
      </c>
      <c r="D235" t="s">
        <v>59</v>
      </c>
      <c r="E235" t="s">
        <v>66</v>
      </c>
      <c r="F235">
        <v>904</v>
      </c>
      <c r="G235">
        <v>973</v>
      </c>
      <c r="H235">
        <v>63</v>
      </c>
      <c r="I235">
        <v>11752</v>
      </c>
      <c r="J235">
        <v>11580</v>
      </c>
      <c r="K235">
        <v>84</v>
      </c>
      <c r="L235">
        <f>SUM(Table2_1[[#This Row],[Likes]:[Comments]])</f>
        <v>1940</v>
      </c>
      <c r="M235" t="s">
        <v>117</v>
      </c>
      <c r="N235" t="s">
        <v>28</v>
      </c>
      <c r="O235" s="67">
        <v>0.1650782845473111</v>
      </c>
      <c r="P235" t="s">
        <v>394</v>
      </c>
      <c r="Q235" t="s">
        <v>33</v>
      </c>
    </row>
    <row r="236" spans="1:17" x14ac:dyDescent="0.3">
      <c r="A236" t="s">
        <v>116</v>
      </c>
      <c r="B236" t="s">
        <v>30</v>
      </c>
      <c r="C236" s="48">
        <v>45685</v>
      </c>
      <c r="D236" t="s">
        <v>59</v>
      </c>
      <c r="E236" t="s">
        <v>66</v>
      </c>
      <c r="F236">
        <v>904</v>
      </c>
      <c r="G236">
        <v>973</v>
      </c>
      <c r="H236">
        <v>63</v>
      </c>
      <c r="I236">
        <v>11752</v>
      </c>
      <c r="J236">
        <v>11580</v>
      </c>
      <c r="K236">
        <v>84</v>
      </c>
      <c r="L236">
        <f>SUM(Table2_1[[#This Row],[Likes]:[Comments]])</f>
        <v>1940</v>
      </c>
      <c r="M236" t="s">
        <v>117</v>
      </c>
      <c r="N236" t="s">
        <v>28</v>
      </c>
      <c r="O236" s="67">
        <v>0.1650782845473111</v>
      </c>
      <c r="P236" t="s">
        <v>395</v>
      </c>
      <c r="Q236" t="s">
        <v>27</v>
      </c>
    </row>
    <row r="237" spans="1:17" x14ac:dyDescent="0.3">
      <c r="A237" t="s">
        <v>116</v>
      </c>
      <c r="B237" t="s">
        <v>30</v>
      </c>
      <c r="C237" s="48">
        <v>45685</v>
      </c>
      <c r="D237" t="s">
        <v>59</v>
      </c>
      <c r="E237" t="s">
        <v>66</v>
      </c>
      <c r="F237">
        <v>904</v>
      </c>
      <c r="G237">
        <v>973</v>
      </c>
      <c r="H237">
        <v>63</v>
      </c>
      <c r="I237">
        <v>11752</v>
      </c>
      <c r="J237">
        <v>11580</v>
      </c>
      <c r="K237">
        <v>84</v>
      </c>
      <c r="L237">
        <f>SUM(Table2_1[[#This Row],[Likes]:[Comments]])</f>
        <v>1940</v>
      </c>
      <c r="M237" t="s">
        <v>117</v>
      </c>
      <c r="N237" t="s">
        <v>28</v>
      </c>
      <c r="O237" s="67">
        <v>0.1650782845473111</v>
      </c>
      <c r="P237" t="s">
        <v>396</v>
      </c>
      <c r="Q237" t="s">
        <v>392</v>
      </c>
    </row>
    <row r="238" spans="1:17" x14ac:dyDescent="0.3">
      <c r="A238" t="s">
        <v>282</v>
      </c>
      <c r="B238" t="s">
        <v>14</v>
      </c>
      <c r="C238" s="48">
        <v>45685</v>
      </c>
      <c r="D238" t="s">
        <v>15</v>
      </c>
      <c r="E238" t="s">
        <v>16</v>
      </c>
      <c r="F238">
        <v>1188</v>
      </c>
      <c r="G238">
        <v>470</v>
      </c>
      <c r="H238">
        <v>174</v>
      </c>
      <c r="I238">
        <v>7128</v>
      </c>
      <c r="J238">
        <v>6145</v>
      </c>
      <c r="K238">
        <v>270</v>
      </c>
      <c r="L238">
        <f>SUM(Table2_1[[#This Row],[Likes]:[Comments]])</f>
        <v>1832</v>
      </c>
      <c r="M238" t="s">
        <v>27</v>
      </c>
      <c r="N238" t="s">
        <v>34</v>
      </c>
      <c r="O238" s="67">
        <v>0.25701459034792368</v>
      </c>
      <c r="P238" t="s">
        <v>394</v>
      </c>
      <c r="Q238" t="s">
        <v>27</v>
      </c>
    </row>
    <row r="239" spans="1:17" x14ac:dyDescent="0.3">
      <c r="A239" t="s">
        <v>332</v>
      </c>
      <c r="B239" t="s">
        <v>14</v>
      </c>
      <c r="C239" s="48">
        <v>45687</v>
      </c>
      <c r="D239" t="s">
        <v>44</v>
      </c>
      <c r="E239" t="s">
        <v>92</v>
      </c>
      <c r="F239">
        <v>59</v>
      </c>
      <c r="G239">
        <v>163</v>
      </c>
      <c r="H239">
        <v>93</v>
      </c>
      <c r="I239">
        <v>590</v>
      </c>
      <c r="J239">
        <v>475</v>
      </c>
      <c r="K239">
        <v>293</v>
      </c>
      <c r="L239">
        <f>SUM(Table2_1[[#This Row],[Likes]:[Comments]])</f>
        <v>315</v>
      </c>
      <c r="M239" t="s">
        <v>27</v>
      </c>
      <c r="N239" t="s">
        <v>23</v>
      </c>
      <c r="O239" s="67">
        <v>0.53389830508474578</v>
      </c>
      <c r="P239" t="s">
        <v>394</v>
      </c>
      <c r="Q239" t="s">
        <v>27</v>
      </c>
    </row>
    <row r="240" spans="1:17" x14ac:dyDescent="0.3">
      <c r="A240" t="s">
        <v>79</v>
      </c>
      <c r="B240" t="s">
        <v>30</v>
      </c>
      <c r="C240" s="48">
        <v>45688</v>
      </c>
      <c r="D240" t="s">
        <v>39</v>
      </c>
      <c r="E240" t="s">
        <v>68</v>
      </c>
      <c r="F240">
        <v>2566</v>
      </c>
      <c r="G240">
        <v>118</v>
      </c>
      <c r="H240">
        <v>37</v>
      </c>
      <c r="I240">
        <v>12830</v>
      </c>
      <c r="J240">
        <v>12264</v>
      </c>
      <c r="K240">
        <v>221</v>
      </c>
      <c r="L240">
        <f>SUM(Table2_1[[#This Row],[Likes]:[Comments]])</f>
        <v>2721</v>
      </c>
      <c r="M240" t="s">
        <v>51</v>
      </c>
      <c r="N240" t="s">
        <v>28</v>
      </c>
      <c r="O240" s="67">
        <v>0.21208106001558846</v>
      </c>
      <c r="P240" t="s">
        <v>394</v>
      </c>
      <c r="Q240" t="s">
        <v>51</v>
      </c>
    </row>
    <row r="241" spans="1:17" x14ac:dyDescent="0.3">
      <c r="A241" t="s">
        <v>50</v>
      </c>
      <c r="B241" t="s">
        <v>30</v>
      </c>
      <c r="C241" s="48">
        <v>45690</v>
      </c>
      <c r="D241" t="s">
        <v>31</v>
      </c>
      <c r="E241" t="s">
        <v>32</v>
      </c>
      <c r="F241">
        <v>1792</v>
      </c>
      <c r="G241">
        <v>614</v>
      </c>
      <c r="H241">
        <v>497</v>
      </c>
      <c r="I241">
        <v>25088</v>
      </c>
      <c r="J241">
        <v>24675</v>
      </c>
      <c r="K241">
        <v>65</v>
      </c>
      <c r="L241">
        <f>SUM(Table2_1[[#This Row],[Likes]:[Comments]])</f>
        <v>2903</v>
      </c>
      <c r="M241" t="s">
        <v>51</v>
      </c>
      <c r="N241" t="s">
        <v>34</v>
      </c>
      <c r="O241" s="67">
        <v>0.11571269132653061</v>
      </c>
      <c r="P241" t="s">
        <v>394</v>
      </c>
      <c r="Q241" t="s">
        <v>51</v>
      </c>
    </row>
    <row r="242" spans="1:17" x14ac:dyDescent="0.3">
      <c r="A242" t="s">
        <v>314</v>
      </c>
      <c r="B242" t="s">
        <v>38</v>
      </c>
      <c r="C242" s="48">
        <v>45690</v>
      </c>
      <c r="D242" t="s">
        <v>31</v>
      </c>
      <c r="E242" t="s">
        <v>57</v>
      </c>
      <c r="F242">
        <v>886</v>
      </c>
      <c r="G242">
        <v>126</v>
      </c>
      <c r="H242">
        <v>153</v>
      </c>
      <c r="I242">
        <v>4430</v>
      </c>
      <c r="J242">
        <v>4037</v>
      </c>
      <c r="K242">
        <v>212</v>
      </c>
      <c r="L242">
        <f>SUM(Table2_1[[#This Row],[Likes]:[Comments]])</f>
        <v>1165</v>
      </c>
      <c r="M242" t="s">
        <v>33</v>
      </c>
      <c r="N242" t="s">
        <v>397</v>
      </c>
      <c r="O242" s="67">
        <v>0.26297968397291194</v>
      </c>
      <c r="P242" t="s">
        <v>394</v>
      </c>
      <c r="Q242" t="s">
        <v>33</v>
      </c>
    </row>
    <row r="243" spans="1:17" x14ac:dyDescent="0.3">
      <c r="A243" t="s">
        <v>166</v>
      </c>
      <c r="B243" t="s">
        <v>30</v>
      </c>
      <c r="C243" s="48">
        <v>45692</v>
      </c>
      <c r="D243" t="s">
        <v>44</v>
      </c>
      <c r="E243" t="s">
        <v>140</v>
      </c>
      <c r="F243">
        <v>4619</v>
      </c>
      <c r="G243">
        <v>821</v>
      </c>
      <c r="H243">
        <v>499</v>
      </c>
      <c r="I243">
        <v>69285</v>
      </c>
      <c r="J243">
        <v>69141</v>
      </c>
      <c r="K243">
        <v>298</v>
      </c>
      <c r="L243">
        <f>SUM(Table2_1[[#This Row],[Likes]:[Comments]])</f>
        <v>5939</v>
      </c>
      <c r="M243" t="s">
        <v>27</v>
      </c>
      <c r="N243" t="s">
        <v>34</v>
      </c>
      <c r="O243" s="67">
        <v>8.5718409468138843E-2</v>
      </c>
      <c r="P243" t="s">
        <v>394</v>
      </c>
      <c r="Q243" t="s">
        <v>27</v>
      </c>
    </row>
    <row r="244" spans="1:17" x14ac:dyDescent="0.3">
      <c r="A244" t="s">
        <v>193</v>
      </c>
      <c r="B244" t="s">
        <v>38</v>
      </c>
      <c r="C244" s="48">
        <v>45694</v>
      </c>
      <c r="D244" t="s">
        <v>44</v>
      </c>
      <c r="E244" t="s">
        <v>49</v>
      </c>
      <c r="F244">
        <v>2072</v>
      </c>
      <c r="G244">
        <v>532</v>
      </c>
      <c r="H244">
        <v>71</v>
      </c>
      <c r="I244">
        <v>37296</v>
      </c>
      <c r="J244">
        <v>36467</v>
      </c>
      <c r="K244">
        <v>25</v>
      </c>
      <c r="L244">
        <f>SUM(Table2_1[[#This Row],[Likes]:[Comments]])</f>
        <v>2675</v>
      </c>
      <c r="M244" t="s">
        <v>27</v>
      </c>
      <c r="N244" t="s">
        <v>34</v>
      </c>
      <c r="O244" s="67">
        <v>7.172350922350923E-2</v>
      </c>
      <c r="P244" t="s">
        <v>394</v>
      </c>
      <c r="Q244" t="s">
        <v>27</v>
      </c>
    </row>
    <row r="245" spans="1:17" x14ac:dyDescent="0.3">
      <c r="A245" t="s">
        <v>179</v>
      </c>
      <c r="B245" t="s">
        <v>30</v>
      </c>
      <c r="C245" s="48">
        <v>45695</v>
      </c>
      <c r="D245" t="s">
        <v>15</v>
      </c>
      <c r="E245" t="s">
        <v>64</v>
      </c>
      <c r="F245">
        <v>1970</v>
      </c>
      <c r="G245">
        <v>675</v>
      </c>
      <c r="H245">
        <v>478</v>
      </c>
      <c r="I245">
        <v>9850</v>
      </c>
      <c r="J245">
        <v>8924</v>
      </c>
      <c r="K245">
        <v>117</v>
      </c>
      <c r="L245">
        <f>SUM(Table2_1[[#This Row],[Likes]:[Comments]])</f>
        <v>3123</v>
      </c>
      <c r="M245" t="s">
        <v>51</v>
      </c>
      <c r="N245" t="s">
        <v>397</v>
      </c>
      <c r="O245" s="67">
        <v>0.31705583756345179</v>
      </c>
      <c r="P245" t="s">
        <v>394</v>
      </c>
      <c r="Q245" t="s">
        <v>51</v>
      </c>
    </row>
    <row r="246" spans="1:17" x14ac:dyDescent="0.3">
      <c r="A246" t="s">
        <v>160</v>
      </c>
      <c r="B246" t="s">
        <v>25</v>
      </c>
      <c r="C246" s="48">
        <v>45698</v>
      </c>
      <c r="D246" t="s">
        <v>59</v>
      </c>
      <c r="E246" t="s">
        <v>143</v>
      </c>
      <c r="F246">
        <v>1766</v>
      </c>
      <c r="G246">
        <v>92</v>
      </c>
      <c r="H246">
        <v>424</v>
      </c>
      <c r="I246">
        <v>24724</v>
      </c>
      <c r="J246">
        <v>24333</v>
      </c>
      <c r="K246">
        <v>52</v>
      </c>
      <c r="L246">
        <f>SUM(Table2_1[[#This Row],[Likes]:[Comments]])</f>
        <v>2282</v>
      </c>
      <c r="M246" t="s">
        <v>33</v>
      </c>
      <c r="N246" t="s">
        <v>397</v>
      </c>
      <c r="O246" s="67">
        <v>9.2298980747451867E-2</v>
      </c>
      <c r="P246" t="s">
        <v>394</v>
      </c>
      <c r="Q246" t="s">
        <v>33</v>
      </c>
    </row>
    <row r="247" spans="1:17" x14ac:dyDescent="0.3">
      <c r="A247" t="s">
        <v>326</v>
      </c>
      <c r="B247" t="s">
        <v>38</v>
      </c>
      <c r="C247" s="48">
        <v>45698</v>
      </c>
      <c r="D247" t="s">
        <v>20</v>
      </c>
      <c r="E247" t="s">
        <v>47</v>
      </c>
      <c r="F247">
        <v>562</v>
      </c>
      <c r="G247">
        <v>158</v>
      </c>
      <c r="H247">
        <v>149</v>
      </c>
      <c r="I247">
        <v>3372</v>
      </c>
      <c r="J247">
        <v>2940</v>
      </c>
      <c r="K247">
        <v>93</v>
      </c>
      <c r="L247">
        <f>SUM(Table2_1[[#This Row],[Likes]:[Comments]])</f>
        <v>869</v>
      </c>
      <c r="M247" t="s">
        <v>27</v>
      </c>
      <c r="N247" t="s">
        <v>18</v>
      </c>
      <c r="O247" s="67">
        <v>0.25771055753262156</v>
      </c>
      <c r="P247" t="s">
        <v>394</v>
      </c>
      <c r="Q247" t="s">
        <v>27</v>
      </c>
    </row>
    <row r="248" spans="1:17" x14ac:dyDescent="0.3">
      <c r="A248" t="s">
        <v>364</v>
      </c>
      <c r="B248" t="s">
        <v>14</v>
      </c>
      <c r="C248" s="48">
        <v>45699</v>
      </c>
      <c r="D248" t="s">
        <v>59</v>
      </c>
      <c r="E248" t="s">
        <v>99</v>
      </c>
      <c r="F248">
        <v>3440</v>
      </c>
      <c r="G248">
        <v>13</v>
      </c>
      <c r="H248">
        <v>20</v>
      </c>
      <c r="I248">
        <v>58480</v>
      </c>
      <c r="J248">
        <v>58146</v>
      </c>
      <c r="K248">
        <v>210</v>
      </c>
      <c r="L248">
        <f>SUM(Table2_1[[#This Row],[Likes]:[Comments]])</f>
        <v>3473</v>
      </c>
      <c r="M248" t="s">
        <v>268</v>
      </c>
      <c r="N248" t="s">
        <v>34</v>
      </c>
      <c r="O248" s="67">
        <v>5.9387824897400819E-2</v>
      </c>
      <c r="P248" t="s">
        <v>394</v>
      </c>
      <c r="Q248" t="s">
        <v>27</v>
      </c>
    </row>
    <row r="249" spans="1:17" x14ac:dyDescent="0.3">
      <c r="A249" t="s">
        <v>364</v>
      </c>
      <c r="B249" t="s">
        <v>14</v>
      </c>
      <c r="C249" s="48">
        <v>45699</v>
      </c>
      <c r="D249" t="s">
        <v>59</v>
      </c>
      <c r="E249" t="s">
        <v>99</v>
      </c>
      <c r="F249">
        <v>3440</v>
      </c>
      <c r="G249">
        <v>13</v>
      </c>
      <c r="H249">
        <v>20</v>
      </c>
      <c r="I249">
        <v>58480</v>
      </c>
      <c r="J249">
        <v>58146</v>
      </c>
      <c r="K249">
        <v>210</v>
      </c>
      <c r="L249">
        <f>SUM(Table2_1[[#This Row],[Likes]:[Comments]])</f>
        <v>3473</v>
      </c>
      <c r="M249" t="s">
        <v>268</v>
      </c>
      <c r="N249" t="s">
        <v>34</v>
      </c>
      <c r="O249" s="67">
        <v>5.9387824897400819E-2</v>
      </c>
      <c r="P249" t="s">
        <v>395</v>
      </c>
      <c r="Q249" t="s">
        <v>388</v>
      </c>
    </row>
    <row r="250" spans="1:17" x14ac:dyDescent="0.3">
      <c r="A250" t="s">
        <v>327</v>
      </c>
      <c r="B250" t="s">
        <v>30</v>
      </c>
      <c r="C250" s="48">
        <v>45700</v>
      </c>
      <c r="D250" t="s">
        <v>31</v>
      </c>
      <c r="E250" t="s">
        <v>32</v>
      </c>
      <c r="F250">
        <v>4332</v>
      </c>
      <c r="G250">
        <v>771</v>
      </c>
      <c r="H250">
        <v>219</v>
      </c>
      <c r="I250">
        <v>60648</v>
      </c>
      <c r="J250">
        <v>60397</v>
      </c>
      <c r="K250">
        <v>10</v>
      </c>
      <c r="L250">
        <f>SUM(Table2_1[[#This Row],[Likes]:[Comments]])</f>
        <v>5322</v>
      </c>
      <c r="M250" t="s">
        <v>328</v>
      </c>
      <c r="N250" t="s">
        <v>28</v>
      </c>
      <c r="O250" s="67">
        <v>8.7752275425405618E-2</v>
      </c>
      <c r="P250" t="s">
        <v>394</v>
      </c>
      <c r="Q250" t="s">
        <v>27</v>
      </c>
    </row>
    <row r="251" spans="1:17" x14ac:dyDescent="0.3">
      <c r="A251" t="s">
        <v>327</v>
      </c>
      <c r="B251" t="s">
        <v>30</v>
      </c>
      <c r="C251" s="48">
        <v>45700</v>
      </c>
      <c r="D251" t="s">
        <v>31</v>
      </c>
      <c r="E251" t="s">
        <v>32</v>
      </c>
      <c r="F251">
        <v>4332</v>
      </c>
      <c r="G251">
        <v>771</v>
      </c>
      <c r="H251">
        <v>219</v>
      </c>
      <c r="I251">
        <v>60648</v>
      </c>
      <c r="J251">
        <v>60397</v>
      </c>
      <c r="K251">
        <v>10</v>
      </c>
      <c r="L251">
        <f>SUM(Table2_1[[#This Row],[Likes]:[Comments]])</f>
        <v>5322</v>
      </c>
      <c r="M251" t="s">
        <v>328</v>
      </c>
      <c r="N251" t="s">
        <v>28</v>
      </c>
      <c r="O251" s="67">
        <v>8.7752275425405618E-2</v>
      </c>
      <c r="P251" t="s">
        <v>395</v>
      </c>
      <c r="Q251" t="s">
        <v>33</v>
      </c>
    </row>
    <row r="252" spans="1:17" x14ac:dyDescent="0.3">
      <c r="A252" t="s">
        <v>327</v>
      </c>
      <c r="B252" t="s">
        <v>30</v>
      </c>
      <c r="C252" s="48">
        <v>45700</v>
      </c>
      <c r="D252" t="s">
        <v>31</v>
      </c>
      <c r="E252" t="s">
        <v>32</v>
      </c>
      <c r="F252">
        <v>4332</v>
      </c>
      <c r="G252">
        <v>771</v>
      </c>
      <c r="H252">
        <v>219</v>
      </c>
      <c r="I252">
        <v>60648</v>
      </c>
      <c r="J252">
        <v>60397</v>
      </c>
      <c r="K252">
        <v>10</v>
      </c>
      <c r="L252">
        <f>SUM(Table2_1[[#This Row],[Likes]:[Comments]])</f>
        <v>5322</v>
      </c>
      <c r="M252" t="s">
        <v>328</v>
      </c>
      <c r="N252" t="s">
        <v>28</v>
      </c>
      <c r="O252" s="67">
        <v>8.7752275425405618E-2</v>
      </c>
      <c r="P252" t="s">
        <v>396</v>
      </c>
      <c r="Q252" t="s">
        <v>393</v>
      </c>
    </row>
    <row r="253" spans="1:17" x14ac:dyDescent="0.3">
      <c r="A253" t="s">
        <v>56</v>
      </c>
      <c r="B253" t="s">
        <v>38</v>
      </c>
      <c r="C253" s="48">
        <v>45704</v>
      </c>
      <c r="D253" t="s">
        <v>31</v>
      </c>
      <c r="E253" t="s">
        <v>57</v>
      </c>
      <c r="F253">
        <v>4242</v>
      </c>
      <c r="G253">
        <v>555</v>
      </c>
      <c r="H253">
        <v>131</v>
      </c>
      <c r="I253">
        <v>33936</v>
      </c>
      <c r="J253">
        <v>33802</v>
      </c>
      <c r="K253">
        <v>265</v>
      </c>
      <c r="L253">
        <f>SUM(Table2_1[[#This Row],[Likes]:[Comments]])</f>
        <v>4928</v>
      </c>
      <c r="M253" t="s">
        <v>51</v>
      </c>
      <c r="N253" t="s">
        <v>397</v>
      </c>
      <c r="O253" s="67">
        <v>0.14521452145214522</v>
      </c>
      <c r="P253" t="s">
        <v>394</v>
      </c>
      <c r="Q253" t="s">
        <v>51</v>
      </c>
    </row>
    <row r="254" spans="1:17" x14ac:dyDescent="0.3">
      <c r="A254" t="s">
        <v>228</v>
      </c>
      <c r="B254" t="s">
        <v>14</v>
      </c>
      <c r="C254" s="48">
        <v>45704</v>
      </c>
      <c r="D254" t="s">
        <v>15</v>
      </c>
      <c r="E254" t="s">
        <v>16</v>
      </c>
      <c r="F254">
        <v>1076</v>
      </c>
      <c r="G254">
        <v>313</v>
      </c>
      <c r="H254">
        <v>306</v>
      </c>
      <c r="I254">
        <v>11836</v>
      </c>
      <c r="J254">
        <v>11596</v>
      </c>
      <c r="K254">
        <v>104</v>
      </c>
      <c r="L254">
        <f>SUM(Table2_1[[#This Row],[Likes]:[Comments]])</f>
        <v>1695</v>
      </c>
      <c r="M254" t="s">
        <v>51</v>
      </c>
      <c r="N254" t="s">
        <v>18</v>
      </c>
      <c r="O254" s="67">
        <v>0.14320716458262928</v>
      </c>
      <c r="P254" t="s">
        <v>394</v>
      </c>
      <c r="Q254" t="s">
        <v>51</v>
      </c>
    </row>
    <row r="255" spans="1:17" x14ac:dyDescent="0.3">
      <c r="A255" t="s">
        <v>89</v>
      </c>
      <c r="B255" t="s">
        <v>25</v>
      </c>
      <c r="C255" s="48">
        <v>45705</v>
      </c>
      <c r="D255" t="s">
        <v>15</v>
      </c>
      <c r="E255" t="s">
        <v>26</v>
      </c>
      <c r="F255">
        <v>3138</v>
      </c>
      <c r="G255">
        <v>123</v>
      </c>
      <c r="H255">
        <v>291</v>
      </c>
      <c r="I255">
        <v>28242</v>
      </c>
      <c r="J255">
        <v>27550</v>
      </c>
      <c r="K255">
        <v>87</v>
      </c>
      <c r="L255">
        <f>SUM(Table2_1[[#This Row],[Likes]:[Comments]])</f>
        <v>3552</v>
      </c>
      <c r="M255" t="s">
        <v>27</v>
      </c>
      <c r="N255" t="s">
        <v>34</v>
      </c>
      <c r="O255" s="67">
        <v>0.12577012959422137</v>
      </c>
      <c r="P255" t="s">
        <v>394</v>
      </c>
      <c r="Q255" t="s">
        <v>27</v>
      </c>
    </row>
    <row r="256" spans="1:17" x14ac:dyDescent="0.3">
      <c r="A256" t="s">
        <v>223</v>
      </c>
      <c r="B256" t="s">
        <v>14</v>
      </c>
      <c r="C256" s="48">
        <v>45707</v>
      </c>
      <c r="D256" t="s">
        <v>20</v>
      </c>
      <c r="E256" t="s">
        <v>21</v>
      </c>
      <c r="F256">
        <v>4671</v>
      </c>
      <c r="G256">
        <v>876</v>
      </c>
      <c r="H256">
        <v>366</v>
      </c>
      <c r="I256">
        <v>51381</v>
      </c>
      <c r="J256">
        <v>50565</v>
      </c>
      <c r="K256">
        <v>245</v>
      </c>
      <c r="L256">
        <f>SUM(Table2_1[[#This Row],[Likes]:[Comments]])</f>
        <v>5913</v>
      </c>
      <c r="M256" t="s">
        <v>27</v>
      </c>
      <c r="N256" t="s">
        <v>34</v>
      </c>
      <c r="O256" s="67">
        <v>0.11508145034156594</v>
      </c>
      <c r="P256" t="s">
        <v>394</v>
      </c>
      <c r="Q256" t="s">
        <v>27</v>
      </c>
    </row>
    <row r="257" spans="1:17" x14ac:dyDescent="0.3">
      <c r="A257" t="s">
        <v>273</v>
      </c>
      <c r="B257" t="s">
        <v>25</v>
      </c>
      <c r="C257" s="48">
        <v>45707</v>
      </c>
      <c r="D257" t="s">
        <v>44</v>
      </c>
      <c r="E257" t="s">
        <v>45</v>
      </c>
      <c r="F257">
        <v>257</v>
      </c>
      <c r="G257">
        <v>966</v>
      </c>
      <c r="H257">
        <v>398</v>
      </c>
      <c r="I257">
        <v>3341</v>
      </c>
      <c r="J257">
        <v>2753</v>
      </c>
      <c r="K257">
        <v>287</v>
      </c>
      <c r="L257">
        <f>SUM(Table2_1[[#This Row],[Likes]:[Comments]])</f>
        <v>1621</v>
      </c>
      <c r="M257" t="s">
        <v>51</v>
      </c>
      <c r="N257" t="s">
        <v>18</v>
      </c>
      <c r="O257" s="67">
        <v>0.48518407662376534</v>
      </c>
      <c r="P257" t="s">
        <v>394</v>
      </c>
      <c r="Q257" t="s">
        <v>51</v>
      </c>
    </row>
    <row r="258" spans="1:17" x14ac:dyDescent="0.3">
      <c r="A258" t="s">
        <v>333</v>
      </c>
      <c r="B258" t="s">
        <v>14</v>
      </c>
      <c r="C258" s="48">
        <v>45708</v>
      </c>
      <c r="D258" t="s">
        <v>39</v>
      </c>
      <c r="E258" t="s">
        <v>42</v>
      </c>
      <c r="F258">
        <v>1877</v>
      </c>
      <c r="G258">
        <v>745</v>
      </c>
      <c r="H258">
        <v>225</v>
      </c>
      <c r="I258">
        <v>11262</v>
      </c>
      <c r="J258">
        <v>10967</v>
      </c>
      <c r="K258">
        <v>41</v>
      </c>
      <c r="L258">
        <f>SUM(Table2_1[[#This Row],[Likes]:[Comments]])</f>
        <v>2847</v>
      </c>
      <c r="M258" t="s">
        <v>33</v>
      </c>
      <c r="N258" t="s">
        <v>34</v>
      </c>
      <c r="O258" s="67">
        <v>0.25279701651571657</v>
      </c>
      <c r="P258" t="s">
        <v>394</v>
      </c>
      <c r="Q258" t="s">
        <v>33</v>
      </c>
    </row>
    <row r="259" spans="1:17" x14ac:dyDescent="0.3">
      <c r="A259" t="s">
        <v>100</v>
      </c>
      <c r="B259" t="s">
        <v>14</v>
      </c>
      <c r="C259" s="48">
        <v>45712</v>
      </c>
      <c r="D259" t="s">
        <v>39</v>
      </c>
      <c r="E259" t="s">
        <v>42</v>
      </c>
      <c r="F259">
        <v>2704</v>
      </c>
      <c r="G259">
        <v>752</v>
      </c>
      <c r="H259">
        <v>153</v>
      </c>
      <c r="I259">
        <v>21632</v>
      </c>
      <c r="J259">
        <v>20792</v>
      </c>
      <c r="K259">
        <v>127</v>
      </c>
      <c r="L259">
        <f>SUM(Table2_1[[#This Row],[Likes]:[Comments]])</f>
        <v>3609</v>
      </c>
      <c r="M259" t="s">
        <v>51</v>
      </c>
      <c r="N259" t="s">
        <v>397</v>
      </c>
      <c r="O259" s="67">
        <v>0.16683616863905326</v>
      </c>
      <c r="P259" t="s">
        <v>394</v>
      </c>
      <c r="Q259" t="s">
        <v>51</v>
      </c>
    </row>
    <row r="260" spans="1:17" x14ac:dyDescent="0.3">
      <c r="A260" t="s">
        <v>108</v>
      </c>
      <c r="B260" t="s">
        <v>25</v>
      </c>
      <c r="C260" s="48">
        <v>45712</v>
      </c>
      <c r="D260" t="s">
        <v>39</v>
      </c>
      <c r="E260" t="s">
        <v>55</v>
      </c>
      <c r="F260">
        <v>804</v>
      </c>
      <c r="G260">
        <v>639</v>
      </c>
      <c r="H260">
        <v>43</v>
      </c>
      <c r="I260">
        <v>4020</v>
      </c>
      <c r="J260">
        <v>3144</v>
      </c>
      <c r="K260">
        <v>11</v>
      </c>
      <c r="L260">
        <f>SUM(Table2_1[[#This Row],[Likes]:[Comments]])</f>
        <v>1486</v>
      </c>
      <c r="M260" t="s">
        <v>109</v>
      </c>
      <c r="N260" t="s">
        <v>397</v>
      </c>
      <c r="O260" s="67">
        <v>0.36965174129353234</v>
      </c>
      <c r="P260" t="s">
        <v>394</v>
      </c>
      <c r="Q260" t="s">
        <v>33</v>
      </c>
    </row>
    <row r="261" spans="1:17" x14ac:dyDescent="0.3">
      <c r="A261" t="s">
        <v>108</v>
      </c>
      <c r="B261" t="s">
        <v>25</v>
      </c>
      <c r="C261" s="48">
        <v>45712</v>
      </c>
      <c r="D261" t="s">
        <v>39</v>
      </c>
      <c r="E261" t="s">
        <v>55</v>
      </c>
      <c r="F261">
        <v>804</v>
      </c>
      <c r="G261">
        <v>639</v>
      </c>
      <c r="H261">
        <v>43</v>
      </c>
      <c r="I261">
        <v>4020</v>
      </c>
      <c r="J261">
        <v>3144</v>
      </c>
      <c r="K261">
        <v>11</v>
      </c>
      <c r="L261">
        <f>SUM(Table2_1[[#This Row],[Likes]:[Comments]])</f>
        <v>1486</v>
      </c>
      <c r="M261" t="s">
        <v>109</v>
      </c>
      <c r="N261" t="s">
        <v>397</v>
      </c>
      <c r="O261" s="67">
        <v>0.36965174129353234</v>
      </c>
      <c r="P261" t="s">
        <v>395</v>
      </c>
      <c r="Q261" t="s">
        <v>393</v>
      </c>
    </row>
    <row r="262" spans="1:17" x14ac:dyDescent="0.3">
      <c r="A262" t="s">
        <v>304</v>
      </c>
      <c r="B262" t="s">
        <v>25</v>
      </c>
      <c r="C262" s="48">
        <v>45712</v>
      </c>
      <c r="D262" t="s">
        <v>20</v>
      </c>
      <c r="E262" t="s">
        <v>77</v>
      </c>
      <c r="F262">
        <v>4188</v>
      </c>
      <c r="G262">
        <v>942</v>
      </c>
      <c r="H262">
        <v>118</v>
      </c>
      <c r="I262">
        <v>20940</v>
      </c>
      <c r="J262">
        <v>20471</v>
      </c>
      <c r="K262">
        <v>102</v>
      </c>
      <c r="L262">
        <f>SUM(Table2_1[[#This Row],[Likes]:[Comments]])</f>
        <v>5248</v>
      </c>
      <c r="M262" t="s">
        <v>51</v>
      </c>
      <c r="N262" t="s">
        <v>397</v>
      </c>
      <c r="O262" s="67">
        <v>0.25062082139446035</v>
      </c>
      <c r="P262" t="s">
        <v>394</v>
      </c>
      <c r="Q262" t="s">
        <v>51</v>
      </c>
    </row>
    <row r="263" spans="1:17" x14ac:dyDescent="0.3">
      <c r="A263" t="s">
        <v>80</v>
      </c>
      <c r="B263" t="s">
        <v>30</v>
      </c>
      <c r="C263" s="48">
        <v>45713</v>
      </c>
      <c r="D263" t="s">
        <v>59</v>
      </c>
      <c r="E263" t="s">
        <v>66</v>
      </c>
      <c r="F263">
        <v>3095</v>
      </c>
      <c r="G263">
        <v>39</v>
      </c>
      <c r="H263">
        <v>78</v>
      </c>
      <c r="I263">
        <v>55710</v>
      </c>
      <c r="J263">
        <v>54808</v>
      </c>
      <c r="K263">
        <v>93</v>
      </c>
      <c r="L263">
        <f>SUM(Table2_1[[#This Row],[Likes]:[Comments]])</f>
        <v>3212</v>
      </c>
      <c r="M263" t="s">
        <v>33</v>
      </c>
      <c r="N263" t="s">
        <v>397</v>
      </c>
      <c r="O263" s="67">
        <v>5.7655717106444085E-2</v>
      </c>
      <c r="P263" t="s">
        <v>394</v>
      </c>
      <c r="Q263" t="s">
        <v>33</v>
      </c>
    </row>
    <row r="264" spans="1:17" x14ac:dyDescent="0.3">
      <c r="A264" t="s">
        <v>70</v>
      </c>
      <c r="B264" t="s">
        <v>38</v>
      </c>
      <c r="C264" s="48">
        <v>45715</v>
      </c>
      <c r="D264" t="s">
        <v>20</v>
      </c>
      <c r="E264" t="s">
        <v>47</v>
      </c>
      <c r="F264">
        <v>1570</v>
      </c>
      <c r="G264">
        <v>187</v>
      </c>
      <c r="H264">
        <v>260</v>
      </c>
      <c r="I264">
        <v>25120</v>
      </c>
      <c r="J264">
        <v>24613</v>
      </c>
      <c r="K264">
        <v>133</v>
      </c>
      <c r="L264">
        <f>SUM(Table2_1[[#This Row],[Likes]:[Comments]])</f>
        <v>2017</v>
      </c>
      <c r="M264" t="s">
        <v>27</v>
      </c>
      <c r="N264" t="s">
        <v>34</v>
      </c>
      <c r="O264" s="67">
        <v>8.0294585987261149E-2</v>
      </c>
      <c r="P264" t="s">
        <v>394</v>
      </c>
      <c r="Q264" t="s">
        <v>27</v>
      </c>
    </row>
    <row r="265" spans="1:17" x14ac:dyDescent="0.3">
      <c r="A265" t="s">
        <v>226</v>
      </c>
      <c r="B265" t="s">
        <v>25</v>
      </c>
      <c r="C265" s="48">
        <v>45715</v>
      </c>
      <c r="D265" t="s">
        <v>20</v>
      </c>
      <c r="E265" t="s">
        <v>77</v>
      </c>
      <c r="F265">
        <v>4934</v>
      </c>
      <c r="G265">
        <v>971</v>
      </c>
      <c r="H265">
        <v>156</v>
      </c>
      <c r="I265">
        <v>39472</v>
      </c>
      <c r="J265">
        <v>39025</v>
      </c>
      <c r="K265">
        <v>169</v>
      </c>
      <c r="L265">
        <f>SUM(Table2_1[[#This Row],[Likes]:[Comments]])</f>
        <v>6061</v>
      </c>
      <c r="M265" t="s">
        <v>72</v>
      </c>
      <c r="N265" t="s">
        <v>34</v>
      </c>
      <c r="O265" s="67">
        <v>0.15355188488042157</v>
      </c>
      <c r="P265" t="s">
        <v>394</v>
      </c>
      <c r="Q265" t="s">
        <v>27</v>
      </c>
    </row>
    <row r="266" spans="1:17" x14ac:dyDescent="0.3">
      <c r="A266" t="s">
        <v>226</v>
      </c>
      <c r="B266" t="s">
        <v>25</v>
      </c>
      <c r="C266" s="48">
        <v>45715</v>
      </c>
      <c r="D266" t="s">
        <v>20</v>
      </c>
      <c r="E266" t="s">
        <v>77</v>
      </c>
      <c r="F266">
        <v>4934</v>
      </c>
      <c r="G266">
        <v>971</v>
      </c>
      <c r="H266">
        <v>156</v>
      </c>
      <c r="I266">
        <v>39472</v>
      </c>
      <c r="J266">
        <v>39025</v>
      </c>
      <c r="K266">
        <v>169</v>
      </c>
      <c r="L266">
        <f>SUM(Table2_1[[#This Row],[Likes]:[Comments]])</f>
        <v>6061</v>
      </c>
      <c r="M266" t="s">
        <v>72</v>
      </c>
      <c r="N266" t="s">
        <v>34</v>
      </c>
      <c r="O266" s="67">
        <v>0.15355188488042157</v>
      </c>
      <c r="P266" t="s">
        <v>395</v>
      </c>
      <c r="Q266" t="s">
        <v>392</v>
      </c>
    </row>
    <row r="267" spans="1:17" x14ac:dyDescent="0.3">
      <c r="A267" t="s">
        <v>96</v>
      </c>
      <c r="B267" t="s">
        <v>14</v>
      </c>
      <c r="C267" s="48">
        <v>45718</v>
      </c>
      <c r="D267" t="s">
        <v>44</v>
      </c>
      <c r="E267" t="s">
        <v>92</v>
      </c>
      <c r="F267">
        <v>2358</v>
      </c>
      <c r="G267">
        <v>784</v>
      </c>
      <c r="H267">
        <v>344</v>
      </c>
      <c r="I267">
        <v>35370</v>
      </c>
      <c r="J267">
        <v>34475</v>
      </c>
      <c r="K267">
        <v>216</v>
      </c>
      <c r="L267">
        <f>SUM(Table2_1[[#This Row],[Likes]:[Comments]])</f>
        <v>3486</v>
      </c>
      <c r="M267" t="s">
        <v>27</v>
      </c>
      <c r="N267" t="s">
        <v>397</v>
      </c>
      <c r="O267" s="67">
        <v>9.8558100084817649E-2</v>
      </c>
      <c r="P267" t="s">
        <v>394</v>
      </c>
      <c r="Q267" t="s">
        <v>27</v>
      </c>
    </row>
    <row r="268" spans="1:17" x14ac:dyDescent="0.3">
      <c r="A268" t="s">
        <v>129</v>
      </c>
      <c r="B268" t="s">
        <v>25</v>
      </c>
      <c r="C268" s="48">
        <v>45719</v>
      </c>
      <c r="D268" t="s">
        <v>15</v>
      </c>
      <c r="E268" t="s">
        <v>26</v>
      </c>
      <c r="F268">
        <v>296</v>
      </c>
      <c r="G268">
        <v>60</v>
      </c>
      <c r="H268">
        <v>141</v>
      </c>
      <c r="I268">
        <v>5624</v>
      </c>
      <c r="J268">
        <v>5239</v>
      </c>
      <c r="K268">
        <v>88</v>
      </c>
      <c r="L268">
        <f>SUM(Table2_1[[#This Row],[Likes]:[Comments]])</f>
        <v>497</v>
      </c>
      <c r="M268" t="s">
        <v>33</v>
      </c>
      <c r="N268" t="s">
        <v>23</v>
      </c>
      <c r="O268" s="67">
        <v>8.837126600284495E-2</v>
      </c>
      <c r="P268" t="s">
        <v>394</v>
      </c>
      <c r="Q268" t="s">
        <v>33</v>
      </c>
    </row>
    <row r="269" spans="1:17" x14ac:dyDescent="0.3">
      <c r="A269" t="s">
        <v>275</v>
      </c>
      <c r="B269" t="s">
        <v>25</v>
      </c>
      <c r="C269" s="48">
        <v>45719</v>
      </c>
      <c r="D269" t="s">
        <v>59</v>
      </c>
      <c r="E269" t="s">
        <v>143</v>
      </c>
      <c r="F269">
        <v>3874</v>
      </c>
      <c r="G269">
        <v>884</v>
      </c>
      <c r="H269">
        <v>19</v>
      </c>
      <c r="I269">
        <v>38740</v>
      </c>
      <c r="J269">
        <v>38552</v>
      </c>
      <c r="K269">
        <v>219</v>
      </c>
      <c r="L269">
        <f>SUM(Table2_1[[#This Row],[Likes]:[Comments]])</f>
        <v>4777</v>
      </c>
      <c r="M269" t="s">
        <v>27</v>
      </c>
      <c r="N269" t="s">
        <v>23</v>
      </c>
      <c r="O269" s="67">
        <v>0.123309241094476</v>
      </c>
      <c r="P269" t="s">
        <v>394</v>
      </c>
      <c r="Q269" t="s">
        <v>27</v>
      </c>
    </row>
    <row r="270" spans="1:17" x14ac:dyDescent="0.3">
      <c r="A270" t="s">
        <v>78</v>
      </c>
      <c r="B270" t="s">
        <v>30</v>
      </c>
      <c r="C270" s="48">
        <v>45720</v>
      </c>
      <c r="D270" t="s">
        <v>59</v>
      </c>
      <c r="E270" t="s">
        <v>66</v>
      </c>
      <c r="F270">
        <v>432</v>
      </c>
      <c r="G270">
        <v>624</v>
      </c>
      <c r="H270">
        <v>123</v>
      </c>
      <c r="I270">
        <v>6912</v>
      </c>
      <c r="J270">
        <v>6259</v>
      </c>
      <c r="K270">
        <v>79</v>
      </c>
      <c r="L270">
        <f>SUM(Table2_1[[#This Row],[Likes]:[Comments]])</f>
        <v>1179</v>
      </c>
      <c r="M270" t="s">
        <v>51</v>
      </c>
      <c r="N270" t="s">
        <v>34</v>
      </c>
      <c r="O270" s="67">
        <v>0.17057291666666666</v>
      </c>
      <c r="P270" t="s">
        <v>394</v>
      </c>
      <c r="Q270" t="s">
        <v>51</v>
      </c>
    </row>
    <row r="271" spans="1:17" x14ac:dyDescent="0.3">
      <c r="A271" t="s">
        <v>134</v>
      </c>
      <c r="B271" t="s">
        <v>38</v>
      </c>
      <c r="C271" s="48">
        <v>45720</v>
      </c>
      <c r="D271" t="s">
        <v>31</v>
      </c>
      <c r="E271" t="s">
        <v>57</v>
      </c>
      <c r="F271">
        <v>1249</v>
      </c>
      <c r="G271">
        <v>116</v>
      </c>
      <c r="H271">
        <v>420</v>
      </c>
      <c r="I271">
        <v>8743</v>
      </c>
      <c r="J271">
        <v>8538</v>
      </c>
      <c r="K271">
        <v>63</v>
      </c>
      <c r="L271">
        <f>SUM(Table2_1[[#This Row],[Likes]:[Comments]])</f>
        <v>1785</v>
      </c>
      <c r="M271" t="s">
        <v>27</v>
      </c>
      <c r="N271" t="s">
        <v>397</v>
      </c>
      <c r="O271" s="67">
        <v>0.20416333066453163</v>
      </c>
      <c r="P271" t="s">
        <v>394</v>
      </c>
      <c r="Q271" t="s">
        <v>27</v>
      </c>
    </row>
    <row r="272" spans="1:17" x14ac:dyDescent="0.3">
      <c r="A272" t="s">
        <v>192</v>
      </c>
      <c r="B272" t="s">
        <v>30</v>
      </c>
      <c r="C272" s="48">
        <v>45720</v>
      </c>
      <c r="D272" t="s">
        <v>31</v>
      </c>
      <c r="E272" t="s">
        <v>32</v>
      </c>
      <c r="F272">
        <v>1947</v>
      </c>
      <c r="G272">
        <v>842</v>
      </c>
      <c r="H272">
        <v>101</v>
      </c>
      <c r="I272">
        <v>21417</v>
      </c>
      <c r="J272">
        <v>20967</v>
      </c>
      <c r="K272">
        <v>186</v>
      </c>
      <c r="L272">
        <f>SUM(Table2_1[[#This Row],[Likes]:[Comments]])</f>
        <v>2890</v>
      </c>
      <c r="M272" t="s">
        <v>51</v>
      </c>
      <c r="N272" t="s">
        <v>23</v>
      </c>
      <c r="O272" s="67">
        <v>0.13493953401503478</v>
      </c>
      <c r="P272" t="s">
        <v>394</v>
      </c>
      <c r="Q272" t="s">
        <v>51</v>
      </c>
    </row>
    <row r="273" spans="1:17" x14ac:dyDescent="0.3">
      <c r="A273" t="s">
        <v>94</v>
      </c>
      <c r="B273" t="s">
        <v>25</v>
      </c>
      <c r="C273" s="48">
        <v>45721</v>
      </c>
      <c r="D273" t="s">
        <v>15</v>
      </c>
      <c r="E273" t="s">
        <v>26</v>
      </c>
      <c r="F273">
        <v>1543</v>
      </c>
      <c r="G273">
        <v>820</v>
      </c>
      <c r="H273">
        <v>333</v>
      </c>
      <c r="I273">
        <v>12344</v>
      </c>
      <c r="J273">
        <v>11496</v>
      </c>
      <c r="K273">
        <v>241</v>
      </c>
      <c r="L273">
        <f>SUM(Table2_1[[#This Row],[Likes]:[Comments]])</f>
        <v>2696</v>
      </c>
      <c r="M273" t="s">
        <v>33</v>
      </c>
      <c r="N273" t="s">
        <v>397</v>
      </c>
      <c r="O273" s="67">
        <v>0.21840570317563188</v>
      </c>
      <c r="P273" t="s">
        <v>394</v>
      </c>
      <c r="Q273" t="s">
        <v>33</v>
      </c>
    </row>
    <row r="274" spans="1:17" x14ac:dyDescent="0.3">
      <c r="A274" t="s">
        <v>308</v>
      </c>
      <c r="B274" t="s">
        <v>14</v>
      </c>
      <c r="C274" s="48">
        <v>45722</v>
      </c>
      <c r="D274" t="s">
        <v>44</v>
      </c>
      <c r="E274" t="s">
        <v>92</v>
      </c>
      <c r="F274">
        <v>3592</v>
      </c>
      <c r="G274">
        <v>911</v>
      </c>
      <c r="H274">
        <v>375</v>
      </c>
      <c r="I274">
        <v>50288</v>
      </c>
      <c r="J274">
        <v>49490</v>
      </c>
      <c r="K274">
        <v>32</v>
      </c>
      <c r="L274">
        <f>SUM(Table2_1[[#This Row],[Likes]:[Comments]])</f>
        <v>4878</v>
      </c>
      <c r="M274" t="s">
        <v>51</v>
      </c>
      <c r="N274" t="s">
        <v>34</v>
      </c>
      <c r="O274" s="67">
        <v>9.7001272669424113E-2</v>
      </c>
      <c r="P274" t="s">
        <v>394</v>
      </c>
      <c r="Q274" t="s">
        <v>51</v>
      </c>
    </row>
    <row r="275" spans="1:17" x14ac:dyDescent="0.3">
      <c r="A275" t="s">
        <v>91</v>
      </c>
      <c r="B275" t="s">
        <v>14</v>
      </c>
      <c r="C275" s="48">
        <v>45723</v>
      </c>
      <c r="D275" t="s">
        <v>44</v>
      </c>
      <c r="E275" t="s">
        <v>92</v>
      </c>
      <c r="F275">
        <v>4750</v>
      </c>
      <c r="G275">
        <v>151</v>
      </c>
      <c r="H275">
        <v>415</v>
      </c>
      <c r="I275">
        <v>38000</v>
      </c>
      <c r="J275">
        <v>37792</v>
      </c>
      <c r="K275">
        <v>299</v>
      </c>
      <c r="L275">
        <f>SUM(Table2_1[[#This Row],[Likes]:[Comments]])</f>
        <v>5316</v>
      </c>
      <c r="M275" t="s">
        <v>33</v>
      </c>
      <c r="N275" t="s">
        <v>34</v>
      </c>
      <c r="O275" s="67">
        <v>0.13989473684210527</v>
      </c>
      <c r="P275" t="s">
        <v>394</v>
      </c>
      <c r="Q275" t="s">
        <v>33</v>
      </c>
    </row>
    <row r="276" spans="1:17" x14ac:dyDescent="0.3">
      <c r="A276" t="s">
        <v>93</v>
      </c>
      <c r="B276" t="s">
        <v>30</v>
      </c>
      <c r="C276" s="48">
        <v>45724</v>
      </c>
      <c r="D276" t="s">
        <v>15</v>
      </c>
      <c r="E276" t="s">
        <v>64</v>
      </c>
      <c r="F276">
        <v>456</v>
      </c>
      <c r="G276">
        <v>629</v>
      </c>
      <c r="H276">
        <v>428</v>
      </c>
      <c r="I276">
        <v>8208</v>
      </c>
      <c r="J276">
        <v>7377</v>
      </c>
      <c r="K276">
        <v>205</v>
      </c>
      <c r="L276">
        <f>SUM(Table2_1[[#This Row],[Likes]:[Comments]])</f>
        <v>1513</v>
      </c>
      <c r="M276" t="s">
        <v>51</v>
      </c>
      <c r="N276" t="s">
        <v>34</v>
      </c>
      <c r="O276" s="67">
        <v>0.18433235867446393</v>
      </c>
      <c r="P276" t="s">
        <v>394</v>
      </c>
      <c r="Q276" t="s">
        <v>51</v>
      </c>
    </row>
    <row r="277" spans="1:17" x14ac:dyDescent="0.3">
      <c r="A277" t="s">
        <v>126</v>
      </c>
      <c r="B277" t="s">
        <v>14</v>
      </c>
      <c r="C277" s="48">
        <v>45724</v>
      </c>
      <c r="D277" t="s">
        <v>20</v>
      </c>
      <c r="E277" t="s">
        <v>21</v>
      </c>
      <c r="F277">
        <v>1292</v>
      </c>
      <c r="G277">
        <v>626</v>
      </c>
      <c r="H277">
        <v>496</v>
      </c>
      <c r="I277">
        <v>25840</v>
      </c>
      <c r="J277">
        <v>24916</v>
      </c>
      <c r="K277">
        <v>149</v>
      </c>
      <c r="L277">
        <f>SUM(Table2_1[[#This Row],[Likes]:[Comments]])</f>
        <v>2414</v>
      </c>
      <c r="M277" t="s">
        <v>51</v>
      </c>
      <c r="N277" t="s">
        <v>28</v>
      </c>
      <c r="O277" s="67">
        <v>9.3421052631578946E-2</v>
      </c>
      <c r="P277" t="s">
        <v>394</v>
      </c>
      <c r="Q277" t="s">
        <v>51</v>
      </c>
    </row>
    <row r="278" spans="1:17" x14ac:dyDescent="0.3">
      <c r="A278" t="s">
        <v>297</v>
      </c>
      <c r="B278" t="s">
        <v>38</v>
      </c>
      <c r="C278" s="48">
        <v>45724</v>
      </c>
      <c r="D278" t="s">
        <v>44</v>
      </c>
      <c r="E278" t="s">
        <v>49</v>
      </c>
      <c r="F278">
        <v>2382</v>
      </c>
      <c r="G278">
        <v>265</v>
      </c>
      <c r="H278">
        <v>134</v>
      </c>
      <c r="I278">
        <v>38112</v>
      </c>
      <c r="J278">
        <v>37437</v>
      </c>
      <c r="K278">
        <v>249</v>
      </c>
      <c r="L278">
        <f>SUM(Table2_1[[#This Row],[Likes]:[Comments]])</f>
        <v>2781</v>
      </c>
      <c r="M278" t="s">
        <v>51</v>
      </c>
      <c r="N278" t="s">
        <v>34</v>
      </c>
      <c r="O278" s="67">
        <v>7.2969143576826198E-2</v>
      </c>
      <c r="P278" t="s">
        <v>394</v>
      </c>
      <c r="Q278" t="s">
        <v>51</v>
      </c>
    </row>
    <row r="279" spans="1:17" x14ac:dyDescent="0.3">
      <c r="A279" t="s">
        <v>48</v>
      </c>
      <c r="B279" t="s">
        <v>38</v>
      </c>
      <c r="C279" s="48">
        <v>45727</v>
      </c>
      <c r="D279" t="s">
        <v>44</v>
      </c>
      <c r="E279" t="s">
        <v>49</v>
      </c>
      <c r="F279">
        <v>4241</v>
      </c>
      <c r="G279">
        <v>902</v>
      </c>
      <c r="H279">
        <v>47</v>
      </c>
      <c r="I279">
        <v>72097</v>
      </c>
      <c r="J279">
        <v>71598</v>
      </c>
      <c r="K279">
        <v>167</v>
      </c>
      <c r="L279">
        <f>SUM(Table2_1[[#This Row],[Likes]:[Comments]])</f>
        <v>5190</v>
      </c>
      <c r="M279" t="s">
        <v>27</v>
      </c>
      <c r="N279" t="s">
        <v>23</v>
      </c>
      <c r="O279" s="67">
        <v>7.198635172059864E-2</v>
      </c>
      <c r="P279" t="s">
        <v>394</v>
      </c>
      <c r="Q279" t="s">
        <v>27</v>
      </c>
    </row>
    <row r="280" spans="1:17" x14ac:dyDescent="0.3">
      <c r="A280" t="s">
        <v>101</v>
      </c>
      <c r="B280" t="s">
        <v>14</v>
      </c>
      <c r="C280" s="48">
        <v>45727</v>
      </c>
      <c r="D280" t="s">
        <v>31</v>
      </c>
      <c r="E280" t="s">
        <v>102</v>
      </c>
      <c r="F280">
        <v>1950</v>
      </c>
      <c r="G280">
        <v>295</v>
      </c>
      <c r="H280">
        <v>478</v>
      </c>
      <c r="I280">
        <v>37050</v>
      </c>
      <c r="J280">
        <v>36272</v>
      </c>
      <c r="K280">
        <v>119</v>
      </c>
      <c r="L280">
        <f>SUM(Table2_1[[#This Row],[Likes]:[Comments]])</f>
        <v>2723</v>
      </c>
      <c r="M280" t="s">
        <v>27</v>
      </c>
      <c r="N280" t="s">
        <v>397</v>
      </c>
      <c r="O280" s="67">
        <v>7.349527665317139E-2</v>
      </c>
      <c r="P280" t="s">
        <v>394</v>
      </c>
      <c r="Q280" t="s">
        <v>27</v>
      </c>
    </row>
    <row r="281" spans="1:17" x14ac:dyDescent="0.3">
      <c r="A281" t="s">
        <v>110</v>
      </c>
      <c r="B281" t="s">
        <v>25</v>
      </c>
      <c r="C281" s="48">
        <v>45729</v>
      </c>
      <c r="D281" t="s">
        <v>39</v>
      </c>
      <c r="E281" t="s">
        <v>55</v>
      </c>
      <c r="F281">
        <v>1686</v>
      </c>
      <c r="G281">
        <v>904</v>
      </c>
      <c r="H281">
        <v>472</v>
      </c>
      <c r="I281">
        <v>18546</v>
      </c>
      <c r="J281">
        <v>18171</v>
      </c>
      <c r="K281">
        <v>52</v>
      </c>
      <c r="L281">
        <f>SUM(Table2_1[[#This Row],[Likes]:[Comments]])</f>
        <v>3062</v>
      </c>
      <c r="M281" t="s">
        <v>51</v>
      </c>
      <c r="N281" t="s">
        <v>23</v>
      </c>
      <c r="O281" s="67">
        <v>0.16510298716704411</v>
      </c>
      <c r="P281" t="s">
        <v>394</v>
      </c>
      <c r="Q281" t="s">
        <v>51</v>
      </c>
    </row>
    <row r="282" spans="1:17" x14ac:dyDescent="0.3">
      <c r="A282" t="s">
        <v>176</v>
      </c>
      <c r="B282" t="s">
        <v>25</v>
      </c>
      <c r="C282" s="48">
        <v>45734</v>
      </c>
      <c r="D282" t="s">
        <v>15</v>
      </c>
      <c r="E282" t="s">
        <v>26</v>
      </c>
      <c r="F282">
        <v>3704</v>
      </c>
      <c r="G282">
        <v>186</v>
      </c>
      <c r="H282">
        <v>458</v>
      </c>
      <c r="I282">
        <v>25928</v>
      </c>
      <c r="J282">
        <v>25081</v>
      </c>
      <c r="K282">
        <v>131</v>
      </c>
      <c r="L282">
        <f>SUM(Table2_1[[#This Row],[Likes]:[Comments]])</f>
        <v>4348</v>
      </c>
      <c r="M282" t="s">
        <v>27</v>
      </c>
      <c r="N282" t="s">
        <v>397</v>
      </c>
      <c r="O282" s="67">
        <v>0.16769515581610614</v>
      </c>
      <c r="P282" t="s">
        <v>394</v>
      </c>
      <c r="Q282" t="s">
        <v>27</v>
      </c>
    </row>
    <row r="283" spans="1:17" x14ac:dyDescent="0.3">
      <c r="A283" t="s">
        <v>272</v>
      </c>
      <c r="B283" t="s">
        <v>14</v>
      </c>
      <c r="C283" s="48">
        <v>45735</v>
      </c>
      <c r="D283" t="s">
        <v>59</v>
      </c>
      <c r="E283" t="s">
        <v>99</v>
      </c>
      <c r="F283">
        <v>3160</v>
      </c>
      <c r="G283">
        <v>204</v>
      </c>
      <c r="H283">
        <v>297</v>
      </c>
      <c r="I283">
        <v>44240</v>
      </c>
      <c r="J283">
        <v>43666</v>
      </c>
      <c r="K283">
        <v>49</v>
      </c>
      <c r="L283">
        <f>SUM(Table2_1[[#This Row],[Likes]:[Comments]])</f>
        <v>3661</v>
      </c>
      <c r="M283" t="s">
        <v>17</v>
      </c>
      <c r="N283" t="s">
        <v>34</v>
      </c>
      <c r="O283" s="67">
        <v>8.2753164556962022E-2</v>
      </c>
      <c r="P283" t="s">
        <v>394</v>
      </c>
      <c r="Q283" t="s">
        <v>51</v>
      </c>
    </row>
    <row r="284" spans="1:17" x14ac:dyDescent="0.3">
      <c r="A284" t="s">
        <v>272</v>
      </c>
      <c r="B284" t="s">
        <v>14</v>
      </c>
      <c r="C284" s="48">
        <v>45735</v>
      </c>
      <c r="D284" t="s">
        <v>59</v>
      </c>
      <c r="E284" t="s">
        <v>99</v>
      </c>
      <c r="F284">
        <v>3160</v>
      </c>
      <c r="G284">
        <v>204</v>
      </c>
      <c r="H284">
        <v>297</v>
      </c>
      <c r="I284">
        <v>44240</v>
      </c>
      <c r="J284">
        <v>43666</v>
      </c>
      <c r="K284">
        <v>49</v>
      </c>
      <c r="L284">
        <f>SUM(Table2_1[[#This Row],[Likes]:[Comments]])</f>
        <v>3661</v>
      </c>
      <c r="M284" t="s">
        <v>17</v>
      </c>
      <c r="N284" t="s">
        <v>34</v>
      </c>
      <c r="O284" s="67">
        <v>8.2753164556962022E-2</v>
      </c>
      <c r="P284" t="s">
        <v>395</v>
      </c>
      <c r="Q284" t="s">
        <v>392</v>
      </c>
    </row>
    <row r="285" spans="1:17" x14ac:dyDescent="0.3">
      <c r="A285" t="s">
        <v>243</v>
      </c>
      <c r="B285" t="s">
        <v>25</v>
      </c>
      <c r="C285" s="48">
        <v>45737</v>
      </c>
      <c r="D285" t="s">
        <v>44</v>
      </c>
      <c r="E285" t="s">
        <v>45</v>
      </c>
      <c r="F285">
        <v>606</v>
      </c>
      <c r="G285">
        <v>789</v>
      </c>
      <c r="H285">
        <v>470</v>
      </c>
      <c r="I285">
        <v>7878</v>
      </c>
      <c r="J285">
        <v>7389</v>
      </c>
      <c r="K285">
        <v>239</v>
      </c>
      <c r="L285">
        <f>SUM(Table2_1[[#This Row],[Likes]:[Comments]])</f>
        <v>1865</v>
      </c>
      <c r="M285" t="s">
        <v>33</v>
      </c>
      <c r="N285" t="s">
        <v>28</v>
      </c>
      <c r="O285" s="67">
        <v>0.23673521198273673</v>
      </c>
      <c r="P285" t="s">
        <v>394</v>
      </c>
      <c r="Q285" t="s">
        <v>33</v>
      </c>
    </row>
    <row r="286" spans="1:17" x14ac:dyDescent="0.3">
      <c r="A286" t="s">
        <v>349</v>
      </c>
      <c r="B286" t="s">
        <v>25</v>
      </c>
      <c r="C286" s="48">
        <v>45738</v>
      </c>
      <c r="D286" t="s">
        <v>44</v>
      </c>
      <c r="E286" t="s">
        <v>45</v>
      </c>
      <c r="F286">
        <v>3166</v>
      </c>
      <c r="G286">
        <v>90</v>
      </c>
      <c r="H286">
        <v>341</v>
      </c>
      <c r="I286">
        <v>56988</v>
      </c>
      <c r="J286">
        <v>56125</v>
      </c>
      <c r="K286">
        <v>135</v>
      </c>
      <c r="L286">
        <f>SUM(Table2_1[[#This Row],[Likes]:[Comments]])</f>
        <v>3597</v>
      </c>
      <c r="M286" t="s">
        <v>33</v>
      </c>
      <c r="N286" t="s">
        <v>23</v>
      </c>
      <c r="O286" s="67">
        <v>6.3118551273952411E-2</v>
      </c>
      <c r="P286" t="s">
        <v>394</v>
      </c>
      <c r="Q286" t="s">
        <v>33</v>
      </c>
    </row>
    <row r="287" spans="1:17" x14ac:dyDescent="0.3">
      <c r="A287" t="s">
        <v>164</v>
      </c>
      <c r="B287" t="s">
        <v>25</v>
      </c>
      <c r="C287" s="48">
        <v>45739</v>
      </c>
      <c r="D287" t="s">
        <v>31</v>
      </c>
      <c r="E287" t="s">
        <v>105</v>
      </c>
      <c r="F287">
        <v>3655</v>
      </c>
      <c r="G287">
        <v>568</v>
      </c>
      <c r="H287">
        <v>286</v>
      </c>
      <c r="I287">
        <v>32895</v>
      </c>
      <c r="J287">
        <v>32015</v>
      </c>
      <c r="K287">
        <v>199</v>
      </c>
      <c r="L287">
        <f>SUM(Table2_1[[#This Row],[Likes]:[Comments]])</f>
        <v>4509</v>
      </c>
      <c r="M287" t="s">
        <v>27</v>
      </c>
      <c r="N287" t="s">
        <v>28</v>
      </c>
      <c r="O287" s="67">
        <v>0.13707250341997265</v>
      </c>
      <c r="P287" t="s">
        <v>394</v>
      </c>
      <c r="Q287" t="s">
        <v>27</v>
      </c>
    </row>
    <row r="288" spans="1:17" x14ac:dyDescent="0.3">
      <c r="A288" t="s">
        <v>284</v>
      </c>
      <c r="B288" t="s">
        <v>38</v>
      </c>
      <c r="C288" s="48">
        <v>45739</v>
      </c>
      <c r="D288" t="s">
        <v>59</v>
      </c>
      <c r="E288" t="s">
        <v>60</v>
      </c>
      <c r="F288">
        <v>4453</v>
      </c>
      <c r="G288">
        <v>111</v>
      </c>
      <c r="H288">
        <v>420</v>
      </c>
      <c r="I288">
        <v>31171</v>
      </c>
      <c r="J288">
        <v>30565</v>
      </c>
      <c r="K288">
        <v>23</v>
      </c>
      <c r="L288">
        <f>SUM(Table2_1[[#This Row],[Likes]:[Comments]])</f>
        <v>4984</v>
      </c>
      <c r="M288" t="s">
        <v>27</v>
      </c>
      <c r="N288" t="s">
        <v>397</v>
      </c>
      <c r="O288" s="67">
        <v>0.15989220750056141</v>
      </c>
      <c r="P288" t="s">
        <v>394</v>
      </c>
      <c r="Q288" t="s">
        <v>27</v>
      </c>
    </row>
    <row r="289" spans="1:17" x14ac:dyDescent="0.3">
      <c r="A289" t="s">
        <v>151</v>
      </c>
      <c r="B289" t="s">
        <v>38</v>
      </c>
      <c r="C289" s="48">
        <v>45740</v>
      </c>
      <c r="D289" t="s">
        <v>44</v>
      </c>
      <c r="E289" t="s">
        <v>49</v>
      </c>
      <c r="F289">
        <v>1263</v>
      </c>
      <c r="G289">
        <v>397</v>
      </c>
      <c r="H289">
        <v>357</v>
      </c>
      <c r="I289">
        <v>25260</v>
      </c>
      <c r="J289">
        <v>24615</v>
      </c>
      <c r="K289">
        <v>137</v>
      </c>
      <c r="L289">
        <f>SUM(Table2_1[[#This Row],[Likes]:[Comments]])</f>
        <v>2017</v>
      </c>
      <c r="M289" t="s">
        <v>33</v>
      </c>
      <c r="N289" t="s">
        <v>34</v>
      </c>
      <c r="O289" s="67">
        <v>7.984956452889945E-2</v>
      </c>
      <c r="P289" t="s">
        <v>394</v>
      </c>
      <c r="Q289" t="s">
        <v>33</v>
      </c>
    </row>
    <row r="290" spans="1:17" x14ac:dyDescent="0.3">
      <c r="A290" t="s">
        <v>251</v>
      </c>
      <c r="B290" t="s">
        <v>38</v>
      </c>
      <c r="C290" s="48">
        <v>45740</v>
      </c>
      <c r="D290" t="s">
        <v>15</v>
      </c>
      <c r="E290" t="s">
        <v>53</v>
      </c>
      <c r="F290">
        <v>3360</v>
      </c>
      <c r="G290">
        <v>525</v>
      </c>
      <c r="H290">
        <v>500</v>
      </c>
      <c r="I290">
        <v>60480</v>
      </c>
      <c r="J290">
        <v>59610</v>
      </c>
      <c r="K290">
        <v>192</v>
      </c>
      <c r="L290">
        <f>SUM(Table2_1[[#This Row],[Likes]:[Comments]])</f>
        <v>4385</v>
      </c>
      <c r="M290" t="s">
        <v>27</v>
      </c>
      <c r="N290" t="s">
        <v>18</v>
      </c>
      <c r="O290" s="67">
        <v>7.2503306878306875E-2</v>
      </c>
      <c r="P290" t="s">
        <v>394</v>
      </c>
      <c r="Q290" t="s">
        <v>27</v>
      </c>
    </row>
    <row r="291" spans="1:17" x14ac:dyDescent="0.3">
      <c r="A291" t="s">
        <v>168</v>
      </c>
      <c r="B291" t="s">
        <v>14</v>
      </c>
      <c r="C291" s="48">
        <v>45741</v>
      </c>
      <c r="D291" t="s">
        <v>59</v>
      </c>
      <c r="E291" t="s">
        <v>99</v>
      </c>
      <c r="F291">
        <v>4050</v>
      </c>
      <c r="G291">
        <v>871</v>
      </c>
      <c r="H291">
        <v>347</v>
      </c>
      <c r="I291">
        <v>52650</v>
      </c>
      <c r="J291">
        <v>51755</v>
      </c>
      <c r="K291">
        <v>209</v>
      </c>
      <c r="L291">
        <f>SUM(Table2_1[[#This Row],[Likes]:[Comments]])</f>
        <v>5268</v>
      </c>
      <c r="M291" t="s">
        <v>27</v>
      </c>
      <c r="N291" t="s">
        <v>23</v>
      </c>
      <c r="O291" s="67">
        <v>0.10005698005698006</v>
      </c>
      <c r="P291" t="s">
        <v>394</v>
      </c>
      <c r="Q291" t="s">
        <v>27</v>
      </c>
    </row>
    <row r="292" spans="1:17" x14ac:dyDescent="0.3">
      <c r="A292" t="s">
        <v>203</v>
      </c>
      <c r="B292" t="s">
        <v>25</v>
      </c>
      <c r="C292" s="48">
        <v>45741</v>
      </c>
      <c r="D292" t="s">
        <v>31</v>
      </c>
      <c r="E292" t="s">
        <v>105</v>
      </c>
      <c r="F292">
        <v>2070</v>
      </c>
      <c r="G292">
        <v>275</v>
      </c>
      <c r="H292">
        <v>386</v>
      </c>
      <c r="I292">
        <v>39330</v>
      </c>
      <c r="J292">
        <v>38627</v>
      </c>
      <c r="K292">
        <v>114</v>
      </c>
      <c r="L292">
        <f>SUM(Table2_1[[#This Row],[Likes]:[Comments]])</f>
        <v>2731</v>
      </c>
      <c r="M292" t="s">
        <v>51</v>
      </c>
      <c r="N292" t="s">
        <v>34</v>
      </c>
      <c r="O292" s="67">
        <v>6.9438087973557078E-2</v>
      </c>
      <c r="P292" t="s">
        <v>394</v>
      </c>
      <c r="Q292" t="s">
        <v>51</v>
      </c>
    </row>
    <row r="293" spans="1:17" x14ac:dyDescent="0.3">
      <c r="A293" t="s">
        <v>85</v>
      </c>
      <c r="B293" t="s">
        <v>38</v>
      </c>
      <c r="C293" s="48">
        <v>45742</v>
      </c>
      <c r="D293" t="s">
        <v>20</v>
      </c>
      <c r="E293" t="s">
        <v>47</v>
      </c>
      <c r="F293">
        <v>1652</v>
      </c>
      <c r="G293">
        <v>89</v>
      </c>
      <c r="H293">
        <v>357</v>
      </c>
      <c r="I293">
        <v>29736</v>
      </c>
      <c r="J293">
        <v>28771</v>
      </c>
      <c r="K293">
        <v>215</v>
      </c>
      <c r="L293">
        <f>SUM(Table2_1[[#This Row],[Likes]:[Comments]])</f>
        <v>2098</v>
      </c>
      <c r="M293" t="s">
        <v>27</v>
      </c>
      <c r="N293" t="s">
        <v>28</v>
      </c>
      <c r="O293" s="67">
        <v>7.055421038471886E-2</v>
      </c>
      <c r="P293" t="s">
        <v>394</v>
      </c>
      <c r="Q293" t="s">
        <v>27</v>
      </c>
    </row>
    <row r="294" spans="1:17" x14ac:dyDescent="0.3">
      <c r="A294" t="s">
        <v>317</v>
      </c>
      <c r="B294" t="s">
        <v>30</v>
      </c>
      <c r="C294" s="48">
        <v>45743</v>
      </c>
      <c r="D294" t="s">
        <v>39</v>
      </c>
      <c r="E294" t="s">
        <v>68</v>
      </c>
      <c r="F294">
        <v>1377</v>
      </c>
      <c r="G294">
        <v>796</v>
      </c>
      <c r="H294">
        <v>387</v>
      </c>
      <c r="I294">
        <v>22032</v>
      </c>
      <c r="J294">
        <v>21869</v>
      </c>
      <c r="K294">
        <v>189</v>
      </c>
      <c r="L294">
        <f>SUM(Table2_1[[#This Row],[Likes]:[Comments]])</f>
        <v>2560</v>
      </c>
      <c r="M294" t="s">
        <v>51</v>
      </c>
      <c r="N294" t="s">
        <v>397</v>
      </c>
      <c r="O294" s="67">
        <v>0.11619462599854757</v>
      </c>
      <c r="P294" t="s">
        <v>394</v>
      </c>
      <c r="Q294" t="s">
        <v>51</v>
      </c>
    </row>
    <row r="295" spans="1:17" x14ac:dyDescent="0.3">
      <c r="A295" t="s">
        <v>340</v>
      </c>
      <c r="B295" t="s">
        <v>30</v>
      </c>
      <c r="C295" s="48">
        <v>45743</v>
      </c>
      <c r="D295" t="s">
        <v>20</v>
      </c>
      <c r="E295" t="s">
        <v>82</v>
      </c>
      <c r="F295">
        <v>4941</v>
      </c>
      <c r="G295">
        <v>414</v>
      </c>
      <c r="H295">
        <v>266</v>
      </c>
      <c r="I295">
        <v>39528</v>
      </c>
      <c r="J295">
        <v>39154</v>
      </c>
      <c r="K295">
        <v>217</v>
      </c>
      <c r="L295">
        <f>SUM(Table2_1[[#This Row],[Likes]:[Comments]])</f>
        <v>5621</v>
      </c>
      <c r="M295" t="s">
        <v>27</v>
      </c>
      <c r="N295" t="s">
        <v>28</v>
      </c>
      <c r="O295" s="67">
        <v>0.14220299534507186</v>
      </c>
      <c r="P295" t="s">
        <v>394</v>
      </c>
      <c r="Q295" t="s">
        <v>27</v>
      </c>
    </row>
    <row r="296" spans="1:17" x14ac:dyDescent="0.3">
      <c r="A296" t="s">
        <v>122</v>
      </c>
      <c r="B296" t="s">
        <v>30</v>
      </c>
      <c r="C296" s="48">
        <v>45744</v>
      </c>
      <c r="D296" t="s">
        <v>31</v>
      </c>
      <c r="E296" t="s">
        <v>32</v>
      </c>
      <c r="F296">
        <v>1881</v>
      </c>
      <c r="G296">
        <v>501</v>
      </c>
      <c r="H296">
        <v>99</v>
      </c>
      <c r="I296">
        <v>20691</v>
      </c>
      <c r="J296">
        <v>19987</v>
      </c>
      <c r="K296">
        <v>289</v>
      </c>
      <c r="L296">
        <f>SUM(Table2_1[[#This Row],[Likes]:[Comments]])</f>
        <v>2481</v>
      </c>
      <c r="M296" t="s">
        <v>33</v>
      </c>
      <c r="N296" t="s">
        <v>397</v>
      </c>
      <c r="O296" s="67">
        <v>0.11990720603160794</v>
      </c>
      <c r="P296" t="s">
        <v>394</v>
      </c>
      <c r="Q296" t="s">
        <v>33</v>
      </c>
    </row>
    <row r="297" spans="1:17" x14ac:dyDescent="0.3">
      <c r="A297" t="s">
        <v>186</v>
      </c>
      <c r="B297" t="s">
        <v>30</v>
      </c>
      <c r="C297" s="48">
        <v>45744</v>
      </c>
      <c r="D297" t="s">
        <v>39</v>
      </c>
      <c r="E297" t="s">
        <v>68</v>
      </c>
      <c r="F297">
        <v>4158</v>
      </c>
      <c r="G297">
        <v>167</v>
      </c>
      <c r="H297">
        <v>241</v>
      </c>
      <c r="I297">
        <v>45738</v>
      </c>
      <c r="J297">
        <v>45183</v>
      </c>
      <c r="K297">
        <v>142</v>
      </c>
      <c r="L297">
        <f>SUM(Table2_1[[#This Row],[Likes]:[Comments]])</f>
        <v>4566</v>
      </c>
      <c r="M297" t="s">
        <v>51</v>
      </c>
      <c r="N297" t="s">
        <v>397</v>
      </c>
      <c r="O297" s="67">
        <v>9.9829463465827106E-2</v>
      </c>
      <c r="P297" t="s">
        <v>394</v>
      </c>
      <c r="Q297" t="s">
        <v>51</v>
      </c>
    </row>
    <row r="298" spans="1:17" x14ac:dyDescent="0.3">
      <c r="A298" t="s">
        <v>124</v>
      </c>
      <c r="B298" t="s">
        <v>38</v>
      </c>
      <c r="C298" s="48">
        <v>45745</v>
      </c>
      <c r="D298" t="s">
        <v>39</v>
      </c>
      <c r="E298" t="s">
        <v>40</v>
      </c>
      <c r="F298">
        <v>4712</v>
      </c>
      <c r="G298">
        <v>568</v>
      </c>
      <c r="H298">
        <v>127</v>
      </c>
      <c r="I298">
        <v>84816</v>
      </c>
      <c r="J298">
        <v>84691</v>
      </c>
      <c r="K298">
        <v>100</v>
      </c>
      <c r="L298">
        <f>SUM(Table2_1[[#This Row],[Likes]:[Comments]])</f>
        <v>5407</v>
      </c>
      <c r="M298" t="s">
        <v>33</v>
      </c>
      <c r="N298" t="s">
        <v>28</v>
      </c>
      <c r="O298" s="67">
        <v>6.3749764195434822E-2</v>
      </c>
      <c r="P298" t="s">
        <v>394</v>
      </c>
      <c r="Q298" t="s">
        <v>33</v>
      </c>
    </row>
    <row r="299" spans="1:17" x14ac:dyDescent="0.3">
      <c r="A299" t="s">
        <v>198</v>
      </c>
      <c r="B299" t="s">
        <v>14</v>
      </c>
      <c r="C299" s="48">
        <v>45745</v>
      </c>
      <c r="D299" t="s">
        <v>44</v>
      </c>
      <c r="E299" t="s">
        <v>92</v>
      </c>
      <c r="F299">
        <v>305</v>
      </c>
      <c r="G299">
        <v>187</v>
      </c>
      <c r="H299">
        <v>243</v>
      </c>
      <c r="I299">
        <v>4575</v>
      </c>
      <c r="J299">
        <v>3704</v>
      </c>
      <c r="K299">
        <v>234</v>
      </c>
      <c r="L299">
        <f>SUM(Table2_1[[#This Row],[Likes]:[Comments]])</f>
        <v>735</v>
      </c>
      <c r="M299" t="s">
        <v>51</v>
      </c>
      <c r="N299" t="s">
        <v>28</v>
      </c>
      <c r="O299" s="67">
        <v>0.16065573770491803</v>
      </c>
      <c r="P299" t="s">
        <v>394</v>
      </c>
      <c r="Q299" t="s">
        <v>51</v>
      </c>
    </row>
    <row r="300" spans="1:17" x14ac:dyDescent="0.3">
      <c r="A300" t="s">
        <v>224</v>
      </c>
      <c r="B300" t="s">
        <v>38</v>
      </c>
      <c r="C300" s="48">
        <v>45748</v>
      </c>
      <c r="D300" t="s">
        <v>31</v>
      </c>
      <c r="E300" t="s">
        <v>57</v>
      </c>
      <c r="F300">
        <v>3430</v>
      </c>
      <c r="G300">
        <v>566</v>
      </c>
      <c r="H300">
        <v>164</v>
      </c>
      <c r="I300">
        <v>48020</v>
      </c>
      <c r="J300">
        <v>47305</v>
      </c>
      <c r="K300">
        <v>120</v>
      </c>
      <c r="L300">
        <f>SUM(Table2_1[[#This Row],[Likes]:[Comments]])</f>
        <v>4160</v>
      </c>
      <c r="M300" t="s">
        <v>51</v>
      </c>
      <c r="N300" t="s">
        <v>397</v>
      </c>
      <c r="O300" s="67">
        <v>8.6630570595585168E-2</v>
      </c>
      <c r="P300" t="s">
        <v>394</v>
      </c>
      <c r="Q300" t="s">
        <v>51</v>
      </c>
    </row>
    <row r="301" spans="1:17" x14ac:dyDescent="0.3">
      <c r="A301" t="s">
        <v>127</v>
      </c>
      <c r="B301" t="s">
        <v>38</v>
      </c>
      <c r="C301" s="48">
        <v>45749</v>
      </c>
      <c r="D301" t="s">
        <v>59</v>
      </c>
      <c r="E301" t="s">
        <v>60</v>
      </c>
      <c r="F301">
        <v>199</v>
      </c>
      <c r="G301">
        <v>772</v>
      </c>
      <c r="H301">
        <v>400</v>
      </c>
      <c r="I301">
        <v>3582</v>
      </c>
      <c r="J301">
        <v>2988</v>
      </c>
      <c r="K301">
        <v>43</v>
      </c>
      <c r="L301">
        <f>SUM(Table2_1[[#This Row],[Likes]:[Comments]])</f>
        <v>1371</v>
      </c>
      <c r="M301" t="s">
        <v>27</v>
      </c>
      <c r="N301" t="s">
        <v>397</v>
      </c>
      <c r="O301" s="67">
        <v>0.38274706867671693</v>
      </c>
      <c r="P301" t="s">
        <v>394</v>
      </c>
      <c r="Q301" t="s">
        <v>27</v>
      </c>
    </row>
    <row r="302" spans="1:17" x14ac:dyDescent="0.3">
      <c r="A302" t="s">
        <v>19</v>
      </c>
      <c r="B302" t="s">
        <v>14</v>
      </c>
      <c r="C302" s="48">
        <v>45750</v>
      </c>
      <c r="D302" t="s">
        <v>20</v>
      </c>
      <c r="E302" t="s">
        <v>21</v>
      </c>
      <c r="F302">
        <v>4054</v>
      </c>
      <c r="G302">
        <v>389</v>
      </c>
      <c r="H302">
        <v>493</v>
      </c>
      <c r="I302">
        <v>64864</v>
      </c>
      <c r="J302">
        <v>64383</v>
      </c>
      <c r="K302">
        <v>117</v>
      </c>
      <c r="L302">
        <f>SUM(Table2_1[[#This Row],[Likes]:[Comments]])</f>
        <v>4936</v>
      </c>
      <c r="M302" t="s">
        <v>22</v>
      </c>
      <c r="N302" t="s">
        <v>23</v>
      </c>
      <c r="O302" s="67">
        <v>7.6097681302417369E-2</v>
      </c>
      <c r="P302" t="s">
        <v>394</v>
      </c>
      <c r="Q302" t="s">
        <v>27</v>
      </c>
    </row>
    <row r="303" spans="1:17" x14ac:dyDescent="0.3">
      <c r="A303" t="s">
        <v>19</v>
      </c>
      <c r="B303" t="s">
        <v>14</v>
      </c>
      <c r="C303" s="48">
        <v>45750</v>
      </c>
      <c r="D303" t="s">
        <v>20</v>
      </c>
      <c r="E303" t="s">
        <v>21</v>
      </c>
      <c r="F303">
        <v>4054</v>
      </c>
      <c r="G303">
        <v>389</v>
      </c>
      <c r="H303">
        <v>493</v>
      </c>
      <c r="I303">
        <v>64864</v>
      </c>
      <c r="J303">
        <v>64383</v>
      </c>
      <c r="K303">
        <v>117</v>
      </c>
      <c r="L303">
        <f>SUM(Table2_1[[#This Row],[Likes]:[Comments]])</f>
        <v>4936</v>
      </c>
      <c r="M303" t="s">
        <v>22</v>
      </c>
      <c r="N303" t="s">
        <v>23</v>
      </c>
      <c r="O303" s="67">
        <v>7.6097681302417369E-2</v>
      </c>
      <c r="P303" t="s">
        <v>395</v>
      </c>
      <c r="Q303" t="s">
        <v>393</v>
      </c>
    </row>
    <row r="304" spans="1:17" x14ac:dyDescent="0.3">
      <c r="A304" t="s">
        <v>321</v>
      </c>
      <c r="B304" t="s">
        <v>38</v>
      </c>
      <c r="C304" s="48">
        <v>45750</v>
      </c>
      <c r="D304" t="s">
        <v>31</v>
      </c>
      <c r="E304" t="s">
        <v>57</v>
      </c>
      <c r="F304">
        <v>3767</v>
      </c>
      <c r="G304">
        <v>514</v>
      </c>
      <c r="H304">
        <v>238</v>
      </c>
      <c r="I304">
        <v>37670</v>
      </c>
      <c r="J304">
        <v>36807</v>
      </c>
      <c r="K304">
        <v>226</v>
      </c>
      <c r="L304">
        <f>SUM(Table2_1[[#This Row],[Likes]:[Comments]])</f>
        <v>4519</v>
      </c>
      <c r="M304" t="s">
        <v>51</v>
      </c>
      <c r="N304" t="s">
        <v>34</v>
      </c>
      <c r="O304" s="67">
        <v>0.11996283514733209</v>
      </c>
      <c r="P304" t="s">
        <v>394</v>
      </c>
      <c r="Q304" t="s">
        <v>51</v>
      </c>
    </row>
    <row r="305" spans="1:17" x14ac:dyDescent="0.3">
      <c r="A305" t="s">
        <v>75</v>
      </c>
      <c r="B305" t="s">
        <v>25</v>
      </c>
      <c r="C305" s="48">
        <v>45752</v>
      </c>
      <c r="D305" t="s">
        <v>15</v>
      </c>
      <c r="E305" t="s">
        <v>26</v>
      </c>
      <c r="F305">
        <v>3009</v>
      </c>
      <c r="G305">
        <v>413</v>
      </c>
      <c r="H305">
        <v>358</v>
      </c>
      <c r="I305">
        <v>42126</v>
      </c>
      <c r="J305">
        <v>41309</v>
      </c>
      <c r="K305">
        <v>211</v>
      </c>
      <c r="L305">
        <f>SUM(Table2_1[[#This Row],[Likes]:[Comments]])</f>
        <v>3780</v>
      </c>
      <c r="M305" t="s">
        <v>51</v>
      </c>
      <c r="N305" t="s">
        <v>23</v>
      </c>
      <c r="O305" s="67">
        <v>8.9730807577268201E-2</v>
      </c>
      <c r="P305" t="s">
        <v>394</v>
      </c>
      <c r="Q305" t="s">
        <v>51</v>
      </c>
    </row>
    <row r="306" spans="1:17" x14ac:dyDescent="0.3">
      <c r="A306" t="s">
        <v>184</v>
      </c>
      <c r="B306" t="s">
        <v>25</v>
      </c>
      <c r="C306" s="48">
        <v>45753</v>
      </c>
      <c r="D306" t="s">
        <v>39</v>
      </c>
      <c r="E306" t="s">
        <v>55</v>
      </c>
      <c r="F306">
        <v>736</v>
      </c>
      <c r="G306">
        <v>771</v>
      </c>
      <c r="H306">
        <v>225</v>
      </c>
      <c r="I306">
        <v>5152</v>
      </c>
      <c r="J306">
        <v>4706</v>
      </c>
      <c r="K306">
        <v>19</v>
      </c>
      <c r="L306">
        <f>SUM(Table2_1[[#This Row],[Likes]:[Comments]])</f>
        <v>1732</v>
      </c>
      <c r="M306" t="s">
        <v>33</v>
      </c>
      <c r="N306" t="s">
        <v>18</v>
      </c>
      <c r="O306" s="67">
        <v>0.33618012422360249</v>
      </c>
      <c r="P306" t="s">
        <v>394</v>
      </c>
      <c r="Q306" t="s">
        <v>33</v>
      </c>
    </row>
    <row r="307" spans="1:17" x14ac:dyDescent="0.3">
      <c r="A307" t="s">
        <v>323</v>
      </c>
      <c r="B307" t="s">
        <v>38</v>
      </c>
      <c r="C307" s="48">
        <v>45753</v>
      </c>
      <c r="D307" t="s">
        <v>44</v>
      </c>
      <c r="E307" t="s">
        <v>49</v>
      </c>
      <c r="F307">
        <v>3090</v>
      </c>
      <c r="G307">
        <v>697</v>
      </c>
      <c r="H307">
        <v>164</v>
      </c>
      <c r="I307">
        <v>49440</v>
      </c>
      <c r="J307">
        <v>48524</v>
      </c>
      <c r="K307">
        <v>25</v>
      </c>
      <c r="L307">
        <f>SUM(Table2_1[[#This Row],[Likes]:[Comments]])</f>
        <v>3951</v>
      </c>
      <c r="M307" t="s">
        <v>324</v>
      </c>
      <c r="N307" t="s">
        <v>23</v>
      </c>
      <c r="O307" s="67">
        <v>7.9915048543689318E-2</v>
      </c>
      <c r="P307" t="s">
        <v>394</v>
      </c>
      <c r="Q307" t="s">
        <v>33</v>
      </c>
    </row>
    <row r="308" spans="1:17" x14ac:dyDescent="0.3">
      <c r="A308" t="s">
        <v>323</v>
      </c>
      <c r="B308" t="s">
        <v>38</v>
      </c>
      <c r="C308" s="48">
        <v>45753</v>
      </c>
      <c r="D308" t="s">
        <v>44</v>
      </c>
      <c r="E308" t="s">
        <v>49</v>
      </c>
      <c r="F308">
        <v>3090</v>
      </c>
      <c r="G308">
        <v>697</v>
      </c>
      <c r="H308">
        <v>164</v>
      </c>
      <c r="I308">
        <v>49440</v>
      </c>
      <c r="J308">
        <v>48524</v>
      </c>
      <c r="K308">
        <v>25</v>
      </c>
      <c r="L308">
        <f>SUM(Table2_1[[#This Row],[Likes]:[Comments]])</f>
        <v>3951</v>
      </c>
      <c r="M308" t="s">
        <v>324</v>
      </c>
      <c r="N308" t="s">
        <v>23</v>
      </c>
      <c r="O308" s="67">
        <v>7.9915048543689318E-2</v>
      </c>
      <c r="P308" t="s">
        <v>395</v>
      </c>
      <c r="Q308" t="s">
        <v>33</v>
      </c>
    </row>
    <row r="309" spans="1:17" x14ac:dyDescent="0.3">
      <c r="A309" t="s">
        <v>323</v>
      </c>
      <c r="B309" t="s">
        <v>38</v>
      </c>
      <c r="C309" s="48">
        <v>45753</v>
      </c>
      <c r="D309" t="s">
        <v>44</v>
      </c>
      <c r="E309" t="s">
        <v>49</v>
      </c>
      <c r="F309">
        <v>3090</v>
      </c>
      <c r="G309">
        <v>697</v>
      </c>
      <c r="H309">
        <v>164</v>
      </c>
      <c r="I309">
        <v>49440</v>
      </c>
      <c r="J309">
        <v>48524</v>
      </c>
      <c r="K309">
        <v>25</v>
      </c>
      <c r="L309">
        <f>SUM(Table2_1[[#This Row],[Likes]:[Comments]])</f>
        <v>3951</v>
      </c>
      <c r="M309" t="s">
        <v>324</v>
      </c>
      <c r="N309" t="s">
        <v>23</v>
      </c>
      <c r="O309" s="67">
        <v>7.9915048543689318E-2</v>
      </c>
      <c r="P309" t="s">
        <v>396</v>
      </c>
      <c r="Q309" t="s">
        <v>393</v>
      </c>
    </row>
    <row r="310" spans="1:17" x14ac:dyDescent="0.3">
      <c r="A310" t="s">
        <v>345</v>
      </c>
      <c r="B310" t="s">
        <v>38</v>
      </c>
      <c r="C310" s="48">
        <v>45753</v>
      </c>
      <c r="D310" t="s">
        <v>44</v>
      </c>
      <c r="E310" t="s">
        <v>49</v>
      </c>
      <c r="F310">
        <v>4236</v>
      </c>
      <c r="G310">
        <v>711</v>
      </c>
      <c r="H310">
        <v>298</v>
      </c>
      <c r="I310">
        <v>21180</v>
      </c>
      <c r="J310">
        <v>20516</v>
      </c>
      <c r="K310">
        <v>238</v>
      </c>
      <c r="L310">
        <f>SUM(Table2_1[[#This Row],[Likes]:[Comments]])</f>
        <v>5245</v>
      </c>
      <c r="M310" t="s">
        <v>51</v>
      </c>
      <c r="N310" t="s">
        <v>18</v>
      </c>
      <c r="O310" s="67">
        <v>0.24763928234183191</v>
      </c>
      <c r="P310" t="s">
        <v>394</v>
      </c>
      <c r="Q310" t="s">
        <v>51</v>
      </c>
    </row>
    <row r="311" spans="1:17" x14ac:dyDescent="0.3">
      <c r="A311" t="s">
        <v>262</v>
      </c>
      <c r="B311" t="s">
        <v>38</v>
      </c>
      <c r="C311" s="48">
        <v>45754</v>
      </c>
      <c r="D311" t="s">
        <v>15</v>
      </c>
      <c r="E311" t="s">
        <v>53</v>
      </c>
      <c r="F311">
        <v>3718</v>
      </c>
      <c r="G311">
        <v>385</v>
      </c>
      <c r="H311">
        <v>310</v>
      </c>
      <c r="I311">
        <v>70642</v>
      </c>
      <c r="J311">
        <v>69749</v>
      </c>
      <c r="K311">
        <v>233</v>
      </c>
      <c r="L311">
        <f>SUM(Table2_1[[#This Row],[Likes]:[Comments]])</f>
        <v>4413</v>
      </c>
      <c r="M311" t="s">
        <v>27</v>
      </c>
      <c r="N311" t="s">
        <v>23</v>
      </c>
      <c r="O311" s="67">
        <v>6.246991874522239E-2</v>
      </c>
      <c r="P311" t="s">
        <v>394</v>
      </c>
      <c r="Q311" t="s">
        <v>27</v>
      </c>
    </row>
    <row r="312" spans="1:17" x14ac:dyDescent="0.3">
      <c r="A312" t="s">
        <v>225</v>
      </c>
      <c r="B312" t="s">
        <v>30</v>
      </c>
      <c r="C312" s="48">
        <v>45755</v>
      </c>
      <c r="D312" t="s">
        <v>44</v>
      </c>
      <c r="E312" t="s">
        <v>140</v>
      </c>
      <c r="F312">
        <v>4501</v>
      </c>
      <c r="G312">
        <v>375</v>
      </c>
      <c r="H312">
        <v>323</v>
      </c>
      <c r="I312">
        <v>22505</v>
      </c>
      <c r="J312">
        <v>21836</v>
      </c>
      <c r="K312">
        <v>132</v>
      </c>
      <c r="L312">
        <f>SUM(Table2_1[[#This Row],[Likes]:[Comments]])</f>
        <v>5199</v>
      </c>
      <c r="M312" t="s">
        <v>27</v>
      </c>
      <c r="N312" t="s">
        <v>23</v>
      </c>
      <c r="O312" s="67">
        <v>0.23101532992668297</v>
      </c>
      <c r="P312" t="s">
        <v>394</v>
      </c>
      <c r="Q312" t="s">
        <v>27</v>
      </c>
    </row>
    <row r="313" spans="1:17" x14ac:dyDescent="0.3">
      <c r="A313" t="s">
        <v>74</v>
      </c>
      <c r="B313" t="s">
        <v>14</v>
      </c>
      <c r="C313" s="48">
        <v>45757</v>
      </c>
      <c r="D313" t="s">
        <v>39</v>
      </c>
      <c r="E313" t="s">
        <v>42</v>
      </c>
      <c r="F313">
        <v>3128</v>
      </c>
      <c r="G313">
        <v>211</v>
      </c>
      <c r="H313">
        <v>197</v>
      </c>
      <c r="I313">
        <v>59432</v>
      </c>
      <c r="J313">
        <v>59182</v>
      </c>
      <c r="K313">
        <v>238</v>
      </c>
      <c r="L313">
        <f>SUM(Table2_1[[#This Row],[Likes]:[Comments]])</f>
        <v>3536</v>
      </c>
      <c r="M313" t="s">
        <v>33</v>
      </c>
      <c r="N313" t="s">
        <v>397</v>
      </c>
      <c r="O313" s="67">
        <v>5.9496567505720827E-2</v>
      </c>
      <c r="P313" t="s">
        <v>394</v>
      </c>
      <c r="Q313" t="s">
        <v>33</v>
      </c>
    </row>
    <row r="314" spans="1:17" x14ac:dyDescent="0.3">
      <c r="A314" t="s">
        <v>336</v>
      </c>
      <c r="B314" t="s">
        <v>30</v>
      </c>
      <c r="C314" s="48">
        <v>45760</v>
      </c>
      <c r="D314" t="s">
        <v>15</v>
      </c>
      <c r="E314" t="s">
        <v>64</v>
      </c>
      <c r="F314">
        <v>4579</v>
      </c>
      <c r="G314">
        <v>125</v>
      </c>
      <c r="H314">
        <v>300</v>
      </c>
      <c r="I314">
        <v>59527</v>
      </c>
      <c r="J314">
        <v>59400</v>
      </c>
      <c r="K314">
        <v>269</v>
      </c>
      <c r="L314">
        <f>SUM(Table2_1[[#This Row],[Likes]:[Comments]])</f>
        <v>5004</v>
      </c>
      <c r="M314" t="s">
        <v>33</v>
      </c>
      <c r="N314" t="s">
        <v>18</v>
      </c>
      <c r="O314" s="67">
        <v>8.4062694239588759E-2</v>
      </c>
      <c r="P314" t="s">
        <v>394</v>
      </c>
      <c r="Q314" t="s">
        <v>33</v>
      </c>
    </row>
    <row r="315" spans="1:17" x14ac:dyDescent="0.3">
      <c r="A315" t="s">
        <v>114</v>
      </c>
      <c r="B315" t="s">
        <v>30</v>
      </c>
      <c r="C315" s="48">
        <v>45762</v>
      </c>
      <c r="D315" t="s">
        <v>15</v>
      </c>
      <c r="E315" t="s">
        <v>64</v>
      </c>
      <c r="F315">
        <v>103</v>
      </c>
      <c r="G315">
        <v>770</v>
      </c>
      <c r="H315">
        <v>19</v>
      </c>
      <c r="I315">
        <v>1030</v>
      </c>
      <c r="J315">
        <v>410</v>
      </c>
      <c r="K315">
        <v>262</v>
      </c>
      <c r="L315">
        <f>SUM(Table2_1[[#This Row],[Likes]:[Comments]])</f>
        <v>892</v>
      </c>
      <c r="M315" t="s">
        <v>27</v>
      </c>
      <c r="N315" t="s">
        <v>34</v>
      </c>
      <c r="O315" s="67">
        <v>0.86601941747572819</v>
      </c>
      <c r="P315" t="s">
        <v>394</v>
      </c>
      <c r="Q315" t="s">
        <v>27</v>
      </c>
    </row>
    <row r="316" spans="1:17" x14ac:dyDescent="0.3">
      <c r="A316" t="s">
        <v>210</v>
      </c>
      <c r="B316" t="s">
        <v>30</v>
      </c>
      <c r="C316" s="48">
        <v>45762</v>
      </c>
      <c r="D316" t="s">
        <v>59</v>
      </c>
      <c r="E316" t="s">
        <v>66</v>
      </c>
      <c r="F316">
        <v>4133</v>
      </c>
      <c r="G316">
        <v>466</v>
      </c>
      <c r="H316">
        <v>327</v>
      </c>
      <c r="I316">
        <v>24798</v>
      </c>
      <c r="J316">
        <v>24620</v>
      </c>
      <c r="K316">
        <v>176</v>
      </c>
      <c r="L316">
        <f>SUM(Table2_1[[#This Row],[Likes]:[Comments]])</f>
        <v>4926</v>
      </c>
      <c r="M316" t="s">
        <v>33</v>
      </c>
      <c r="N316" t="s">
        <v>34</v>
      </c>
      <c r="O316" s="67">
        <v>0.19864505202032423</v>
      </c>
      <c r="P316" t="s">
        <v>394</v>
      </c>
      <c r="Q316" t="s">
        <v>33</v>
      </c>
    </row>
    <row r="317" spans="1:17" x14ac:dyDescent="0.3">
      <c r="A317" t="s">
        <v>356</v>
      </c>
      <c r="B317" t="s">
        <v>25</v>
      </c>
      <c r="C317" s="48">
        <v>45764</v>
      </c>
      <c r="D317" t="s">
        <v>39</v>
      </c>
      <c r="E317" t="s">
        <v>55</v>
      </c>
      <c r="F317">
        <v>4780</v>
      </c>
      <c r="G317">
        <v>691</v>
      </c>
      <c r="H317">
        <v>380</v>
      </c>
      <c r="I317">
        <v>86040</v>
      </c>
      <c r="J317">
        <v>85743</v>
      </c>
      <c r="K317">
        <v>262</v>
      </c>
      <c r="L317">
        <f>SUM(Table2_1[[#This Row],[Likes]:[Comments]])</f>
        <v>5851</v>
      </c>
      <c r="M317" t="s">
        <v>51</v>
      </c>
      <c r="N317" t="s">
        <v>28</v>
      </c>
      <c r="O317" s="67">
        <v>6.800325430032543E-2</v>
      </c>
      <c r="P317" t="s">
        <v>394</v>
      </c>
      <c r="Q317" t="s">
        <v>51</v>
      </c>
    </row>
    <row r="318" spans="1:17" x14ac:dyDescent="0.3">
      <c r="A318" t="s">
        <v>87</v>
      </c>
      <c r="B318" t="s">
        <v>30</v>
      </c>
      <c r="C318" s="48">
        <v>45766</v>
      </c>
      <c r="D318" t="s">
        <v>31</v>
      </c>
      <c r="E318" t="s">
        <v>32</v>
      </c>
      <c r="F318">
        <v>4518</v>
      </c>
      <c r="G318">
        <v>285</v>
      </c>
      <c r="H318">
        <v>383</v>
      </c>
      <c r="I318">
        <v>67770</v>
      </c>
      <c r="J318">
        <v>67621</v>
      </c>
      <c r="K318">
        <v>31</v>
      </c>
      <c r="L318">
        <f>SUM(Table2_1[[#This Row],[Likes]:[Comments]])</f>
        <v>5186</v>
      </c>
      <c r="M318" t="s">
        <v>33</v>
      </c>
      <c r="N318" t="s">
        <v>23</v>
      </c>
      <c r="O318" s="67">
        <v>7.6523535487678915E-2</v>
      </c>
      <c r="P318" t="s">
        <v>394</v>
      </c>
      <c r="Q318" t="s">
        <v>33</v>
      </c>
    </row>
    <row r="319" spans="1:17" x14ac:dyDescent="0.3">
      <c r="A319" t="s">
        <v>145</v>
      </c>
      <c r="B319" t="s">
        <v>30</v>
      </c>
      <c r="C319" s="48">
        <v>45766</v>
      </c>
      <c r="D319" t="s">
        <v>44</v>
      </c>
      <c r="E319" t="s">
        <v>140</v>
      </c>
      <c r="F319">
        <v>4177</v>
      </c>
      <c r="G319">
        <v>569</v>
      </c>
      <c r="H319">
        <v>55</v>
      </c>
      <c r="I319">
        <v>25062</v>
      </c>
      <c r="J319">
        <v>24847</v>
      </c>
      <c r="K319">
        <v>230</v>
      </c>
      <c r="L319">
        <f>SUM(Table2_1[[#This Row],[Likes]:[Comments]])</f>
        <v>4801</v>
      </c>
      <c r="M319" t="s">
        <v>51</v>
      </c>
      <c r="N319" t="s">
        <v>18</v>
      </c>
      <c r="O319" s="67">
        <v>0.19156491900087783</v>
      </c>
      <c r="P319" t="s">
        <v>394</v>
      </c>
      <c r="Q319" t="s">
        <v>51</v>
      </c>
    </row>
    <row r="320" spans="1:17" x14ac:dyDescent="0.3">
      <c r="A320" t="s">
        <v>214</v>
      </c>
      <c r="B320" t="s">
        <v>38</v>
      </c>
      <c r="C320" s="48">
        <v>45769</v>
      </c>
      <c r="D320" t="s">
        <v>44</v>
      </c>
      <c r="E320" t="s">
        <v>49</v>
      </c>
      <c r="F320">
        <v>4804</v>
      </c>
      <c r="G320">
        <v>550</v>
      </c>
      <c r="H320">
        <v>270</v>
      </c>
      <c r="I320">
        <v>28824</v>
      </c>
      <c r="J320">
        <v>28370</v>
      </c>
      <c r="K320">
        <v>47</v>
      </c>
      <c r="L320">
        <f>SUM(Table2_1[[#This Row],[Likes]:[Comments]])</f>
        <v>5624</v>
      </c>
      <c r="M320" t="s">
        <v>33</v>
      </c>
      <c r="N320" t="s">
        <v>34</v>
      </c>
      <c r="O320" s="67">
        <v>0.19511518179295032</v>
      </c>
      <c r="P320" t="s">
        <v>394</v>
      </c>
      <c r="Q320" t="s">
        <v>33</v>
      </c>
    </row>
    <row r="321" spans="1:17" x14ac:dyDescent="0.3">
      <c r="A321" t="s">
        <v>194</v>
      </c>
      <c r="B321" t="s">
        <v>14</v>
      </c>
      <c r="C321" s="48">
        <v>45771</v>
      </c>
      <c r="D321" t="s">
        <v>15</v>
      </c>
      <c r="E321" t="s">
        <v>16</v>
      </c>
      <c r="F321">
        <v>3731</v>
      </c>
      <c r="G321">
        <v>115</v>
      </c>
      <c r="H321">
        <v>135</v>
      </c>
      <c r="I321">
        <v>55965</v>
      </c>
      <c r="J321">
        <v>55436</v>
      </c>
      <c r="K321">
        <v>103</v>
      </c>
      <c r="L321">
        <f>SUM(Table2_1[[#This Row],[Likes]:[Comments]])</f>
        <v>3981</v>
      </c>
      <c r="M321" t="s">
        <v>27</v>
      </c>
      <c r="N321" t="s">
        <v>18</v>
      </c>
      <c r="O321" s="67">
        <v>7.1133744304476013E-2</v>
      </c>
      <c r="P321" t="s">
        <v>394</v>
      </c>
      <c r="Q321" t="s">
        <v>27</v>
      </c>
    </row>
    <row r="322" spans="1:17" x14ac:dyDescent="0.3">
      <c r="A322" t="s">
        <v>267</v>
      </c>
      <c r="B322" t="s">
        <v>14</v>
      </c>
      <c r="C322" s="48">
        <v>45771</v>
      </c>
      <c r="D322" t="s">
        <v>59</v>
      </c>
      <c r="E322" t="s">
        <v>99</v>
      </c>
      <c r="F322">
        <v>3820</v>
      </c>
      <c r="G322">
        <v>697</v>
      </c>
      <c r="H322">
        <v>268</v>
      </c>
      <c r="I322">
        <v>45840</v>
      </c>
      <c r="J322">
        <v>45631</v>
      </c>
      <c r="K322">
        <v>171</v>
      </c>
      <c r="L322">
        <f>SUM(Table2_1[[#This Row],[Likes]:[Comments]])</f>
        <v>4785</v>
      </c>
      <c r="M322" t="s">
        <v>268</v>
      </c>
      <c r="N322" t="s">
        <v>34</v>
      </c>
      <c r="O322" s="67">
        <v>0.1043848167539267</v>
      </c>
      <c r="P322" t="s">
        <v>394</v>
      </c>
      <c r="Q322" t="s">
        <v>27</v>
      </c>
    </row>
    <row r="323" spans="1:17" x14ac:dyDescent="0.3">
      <c r="A323" t="s">
        <v>267</v>
      </c>
      <c r="B323" t="s">
        <v>14</v>
      </c>
      <c r="C323" s="48">
        <v>45771</v>
      </c>
      <c r="D323" t="s">
        <v>59</v>
      </c>
      <c r="E323" t="s">
        <v>99</v>
      </c>
      <c r="F323">
        <v>3820</v>
      </c>
      <c r="G323">
        <v>697</v>
      </c>
      <c r="H323">
        <v>268</v>
      </c>
      <c r="I323">
        <v>45840</v>
      </c>
      <c r="J323">
        <v>45631</v>
      </c>
      <c r="K323">
        <v>171</v>
      </c>
      <c r="L323">
        <f>SUM(Table2_1[[#This Row],[Likes]:[Comments]])</f>
        <v>4785</v>
      </c>
      <c r="M323" t="s">
        <v>268</v>
      </c>
      <c r="N323" t="s">
        <v>34</v>
      </c>
      <c r="O323" s="67">
        <v>0.1043848167539267</v>
      </c>
      <c r="P323" t="s">
        <v>395</v>
      </c>
      <c r="Q323" t="s">
        <v>388</v>
      </c>
    </row>
    <row r="324" spans="1:17" x14ac:dyDescent="0.3">
      <c r="A324" t="s">
        <v>232</v>
      </c>
      <c r="B324" t="s">
        <v>14</v>
      </c>
      <c r="C324" s="48">
        <v>45775</v>
      </c>
      <c r="D324" t="s">
        <v>20</v>
      </c>
      <c r="E324" t="s">
        <v>21</v>
      </c>
      <c r="F324">
        <v>3577</v>
      </c>
      <c r="G324">
        <v>596</v>
      </c>
      <c r="H324">
        <v>493</v>
      </c>
      <c r="I324">
        <v>67963</v>
      </c>
      <c r="J324">
        <v>67839</v>
      </c>
      <c r="K324">
        <v>53</v>
      </c>
      <c r="L324">
        <f>SUM(Table2_1[[#This Row],[Likes]:[Comments]])</f>
        <v>4666</v>
      </c>
      <c r="M324" t="s">
        <v>27</v>
      </c>
      <c r="N324" t="s">
        <v>28</v>
      </c>
      <c r="O324" s="67">
        <v>6.8655003457763777E-2</v>
      </c>
      <c r="P324" t="s">
        <v>394</v>
      </c>
      <c r="Q324" t="s">
        <v>27</v>
      </c>
    </row>
    <row r="325" spans="1:17" x14ac:dyDescent="0.3">
      <c r="A325" t="s">
        <v>318</v>
      </c>
      <c r="B325" t="s">
        <v>38</v>
      </c>
      <c r="C325" s="48">
        <v>45775</v>
      </c>
      <c r="D325" t="s">
        <v>39</v>
      </c>
      <c r="E325" t="s">
        <v>40</v>
      </c>
      <c r="F325">
        <v>2089</v>
      </c>
      <c r="G325">
        <v>476</v>
      </c>
      <c r="H325">
        <v>69</v>
      </c>
      <c r="I325">
        <v>16712</v>
      </c>
      <c r="J325">
        <v>16309</v>
      </c>
      <c r="K325">
        <v>64</v>
      </c>
      <c r="L325">
        <f>SUM(Table2_1[[#This Row],[Likes]:[Comments]])</f>
        <v>2634</v>
      </c>
      <c r="M325" t="s">
        <v>51</v>
      </c>
      <c r="N325" t="s">
        <v>28</v>
      </c>
      <c r="O325" s="67">
        <v>0.15761129727142173</v>
      </c>
      <c r="P325" t="s">
        <v>394</v>
      </c>
      <c r="Q325" t="s">
        <v>51</v>
      </c>
    </row>
    <row r="326" spans="1:17" x14ac:dyDescent="0.3">
      <c r="A326" t="s">
        <v>296</v>
      </c>
      <c r="B326" t="s">
        <v>14</v>
      </c>
      <c r="C326" s="48">
        <v>45776</v>
      </c>
      <c r="D326" t="s">
        <v>31</v>
      </c>
      <c r="E326" t="s">
        <v>102</v>
      </c>
      <c r="F326">
        <v>249</v>
      </c>
      <c r="G326">
        <v>592</v>
      </c>
      <c r="H326">
        <v>230</v>
      </c>
      <c r="I326">
        <v>1494</v>
      </c>
      <c r="J326">
        <v>1044</v>
      </c>
      <c r="K326">
        <v>201</v>
      </c>
      <c r="L326">
        <f>SUM(Table2_1[[#This Row],[Likes]:[Comments]])</f>
        <v>1071</v>
      </c>
      <c r="M326" t="s">
        <v>33</v>
      </c>
      <c r="N326" t="s">
        <v>34</v>
      </c>
      <c r="O326" s="67">
        <v>0.7168674698795181</v>
      </c>
      <c r="P326" t="s">
        <v>394</v>
      </c>
      <c r="Q326" t="s">
        <v>33</v>
      </c>
    </row>
    <row r="327" spans="1:17" x14ac:dyDescent="0.3">
      <c r="A327" t="s">
        <v>276</v>
      </c>
      <c r="B327" t="s">
        <v>38</v>
      </c>
      <c r="C327" s="48">
        <v>45778</v>
      </c>
      <c r="D327" t="s">
        <v>39</v>
      </c>
      <c r="E327" t="s">
        <v>40</v>
      </c>
      <c r="F327">
        <v>2696</v>
      </c>
      <c r="G327">
        <v>628</v>
      </c>
      <c r="H327">
        <v>443</v>
      </c>
      <c r="I327">
        <v>45832</v>
      </c>
      <c r="J327">
        <v>45632</v>
      </c>
      <c r="K327">
        <v>248</v>
      </c>
      <c r="L327">
        <f>SUM(Table2_1[[#This Row],[Likes]:[Comments]])</f>
        <v>3767</v>
      </c>
      <c r="M327" t="s">
        <v>33</v>
      </c>
      <c r="N327" t="s">
        <v>34</v>
      </c>
      <c r="O327" s="67">
        <v>8.21914819340199E-2</v>
      </c>
      <c r="P327" t="s">
        <v>394</v>
      </c>
      <c r="Q327" t="s">
        <v>33</v>
      </c>
    </row>
    <row r="328" spans="1:17" x14ac:dyDescent="0.3">
      <c r="A328" t="s">
        <v>295</v>
      </c>
      <c r="B328" t="s">
        <v>30</v>
      </c>
      <c r="C328" s="48">
        <v>45778</v>
      </c>
      <c r="D328" t="s">
        <v>20</v>
      </c>
      <c r="E328" t="s">
        <v>82</v>
      </c>
      <c r="F328">
        <v>1430</v>
      </c>
      <c r="G328">
        <v>376</v>
      </c>
      <c r="H328">
        <v>33</v>
      </c>
      <c r="I328">
        <v>21450</v>
      </c>
      <c r="J328">
        <v>20509</v>
      </c>
      <c r="K328">
        <v>251</v>
      </c>
      <c r="L328">
        <f>SUM(Table2_1[[#This Row],[Likes]:[Comments]])</f>
        <v>1839</v>
      </c>
      <c r="M328" t="s">
        <v>51</v>
      </c>
      <c r="N328" t="s">
        <v>18</v>
      </c>
      <c r="O328" s="67">
        <v>8.5734265734265735E-2</v>
      </c>
      <c r="P328" t="s">
        <v>394</v>
      </c>
      <c r="Q328" t="s">
        <v>51</v>
      </c>
    </row>
    <row r="329" spans="1:17" x14ac:dyDescent="0.3">
      <c r="A329" t="s">
        <v>98</v>
      </c>
      <c r="B329" t="s">
        <v>14</v>
      </c>
      <c r="C329" s="48">
        <v>45779</v>
      </c>
      <c r="D329" t="s">
        <v>59</v>
      </c>
      <c r="E329" t="s">
        <v>99</v>
      </c>
      <c r="F329">
        <v>1108</v>
      </c>
      <c r="G329">
        <v>177</v>
      </c>
      <c r="H329">
        <v>212</v>
      </c>
      <c r="I329">
        <v>8864</v>
      </c>
      <c r="J329">
        <v>8710</v>
      </c>
      <c r="K329">
        <v>97</v>
      </c>
      <c r="L329">
        <f>SUM(Table2_1[[#This Row],[Likes]:[Comments]])</f>
        <v>1497</v>
      </c>
      <c r="M329" t="s">
        <v>27</v>
      </c>
      <c r="N329" t="s">
        <v>34</v>
      </c>
      <c r="O329" s="67">
        <v>0.16888537906137185</v>
      </c>
      <c r="P329" t="s">
        <v>394</v>
      </c>
      <c r="Q329" t="s">
        <v>27</v>
      </c>
    </row>
    <row r="330" spans="1:17" x14ac:dyDescent="0.3">
      <c r="A330" t="s">
        <v>62</v>
      </c>
      <c r="B330" t="s">
        <v>38</v>
      </c>
      <c r="C330" s="48">
        <v>45782</v>
      </c>
      <c r="D330" t="s">
        <v>20</v>
      </c>
      <c r="E330" t="s">
        <v>47</v>
      </c>
      <c r="F330">
        <v>4441</v>
      </c>
      <c r="G330">
        <v>511</v>
      </c>
      <c r="H330">
        <v>70</v>
      </c>
      <c r="I330">
        <v>53292</v>
      </c>
      <c r="J330">
        <v>53082</v>
      </c>
      <c r="K330">
        <v>159</v>
      </c>
      <c r="L330">
        <f>SUM(Table2_1[[#This Row],[Likes]:[Comments]])</f>
        <v>5022</v>
      </c>
      <c r="M330" t="s">
        <v>33</v>
      </c>
      <c r="N330" t="s">
        <v>34</v>
      </c>
      <c r="O330" s="67">
        <v>9.4235532537716729E-2</v>
      </c>
      <c r="P330" t="s">
        <v>394</v>
      </c>
      <c r="Q330" t="s">
        <v>33</v>
      </c>
    </row>
    <row r="331" spans="1:17" x14ac:dyDescent="0.3">
      <c r="A331" t="s">
        <v>278</v>
      </c>
      <c r="B331" t="s">
        <v>38</v>
      </c>
      <c r="C331" s="48">
        <v>45783</v>
      </c>
      <c r="D331" t="s">
        <v>44</v>
      </c>
      <c r="E331" t="s">
        <v>49</v>
      </c>
      <c r="F331">
        <v>4872</v>
      </c>
      <c r="G331">
        <v>925</v>
      </c>
      <c r="H331">
        <v>176</v>
      </c>
      <c r="I331">
        <v>82824</v>
      </c>
      <c r="J331">
        <v>82543</v>
      </c>
      <c r="K331">
        <v>89</v>
      </c>
      <c r="L331">
        <f>SUM(Table2_1[[#This Row],[Likes]:[Comments]])</f>
        <v>5973</v>
      </c>
      <c r="M331" t="s">
        <v>33</v>
      </c>
      <c r="N331" t="s">
        <v>23</v>
      </c>
      <c r="O331" s="67">
        <v>7.2116777745580993E-2</v>
      </c>
      <c r="P331" t="s">
        <v>394</v>
      </c>
      <c r="Q331" t="s">
        <v>33</v>
      </c>
    </row>
    <row r="332" spans="1:17" x14ac:dyDescent="0.3">
      <c r="A332" t="s">
        <v>363</v>
      </c>
      <c r="B332" t="s">
        <v>14</v>
      </c>
      <c r="C332" s="48">
        <v>45783</v>
      </c>
      <c r="D332" t="s">
        <v>44</v>
      </c>
      <c r="E332" t="s">
        <v>92</v>
      </c>
      <c r="F332">
        <v>1952</v>
      </c>
      <c r="G332">
        <v>344</v>
      </c>
      <c r="H332">
        <v>287</v>
      </c>
      <c r="I332">
        <v>15616</v>
      </c>
      <c r="J332">
        <v>15403</v>
      </c>
      <c r="K332">
        <v>235</v>
      </c>
      <c r="L332">
        <f>SUM(Table2_1[[#This Row],[Likes]:[Comments]])</f>
        <v>2583</v>
      </c>
      <c r="M332" t="s">
        <v>141</v>
      </c>
      <c r="N332" t="s">
        <v>23</v>
      </c>
      <c r="O332" s="67">
        <v>0.16540727459016394</v>
      </c>
      <c r="P332" t="s">
        <v>394</v>
      </c>
      <c r="Q332" t="s">
        <v>51</v>
      </c>
    </row>
    <row r="333" spans="1:17" x14ac:dyDescent="0.3">
      <c r="A333" t="s">
        <v>363</v>
      </c>
      <c r="B333" t="s">
        <v>14</v>
      </c>
      <c r="C333" s="48">
        <v>45783</v>
      </c>
      <c r="D333" t="s">
        <v>44</v>
      </c>
      <c r="E333" t="s">
        <v>92</v>
      </c>
      <c r="F333">
        <v>1952</v>
      </c>
      <c r="G333">
        <v>344</v>
      </c>
      <c r="H333">
        <v>287</v>
      </c>
      <c r="I333">
        <v>15616</v>
      </c>
      <c r="J333">
        <v>15403</v>
      </c>
      <c r="K333">
        <v>235</v>
      </c>
      <c r="L333">
        <f>SUM(Table2_1[[#This Row],[Likes]:[Comments]])</f>
        <v>2583</v>
      </c>
      <c r="M333" t="s">
        <v>141</v>
      </c>
      <c r="N333" t="s">
        <v>23</v>
      </c>
      <c r="O333" s="67">
        <v>0.16540727459016394</v>
      </c>
      <c r="P333" t="s">
        <v>395</v>
      </c>
      <c r="Q333" t="s">
        <v>27</v>
      </c>
    </row>
    <row r="334" spans="1:17" x14ac:dyDescent="0.3">
      <c r="A334" t="s">
        <v>363</v>
      </c>
      <c r="B334" t="s">
        <v>14</v>
      </c>
      <c r="C334" s="48">
        <v>45783</v>
      </c>
      <c r="D334" t="s">
        <v>44</v>
      </c>
      <c r="E334" t="s">
        <v>92</v>
      </c>
      <c r="F334">
        <v>1952</v>
      </c>
      <c r="G334">
        <v>344</v>
      </c>
      <c r="H334">
        <v>287</v>
      </c>
      <c r="I334">
        <v>15616</v>
      </c>
      <c r="J334">
        <v>15403</v>
      </c>
      <c r="K334">
        <v>235</v>
      </c>
      <c r="L334">
        <f>SUM(Table2_1[[#This Row],[Likes]:[Comments]])</f>
        <v>2583</v>
      </c>
      <c r="M334" t="s">
        <v>141</v>
      </c>
      <c r="N334" t="s">
        <v>23</v>
      </c>
      <c r="O334" s="67">
        <v>0.16540727459016394</v>
      </c>
      <c r="P334" t="s">
        <v>396</v>
      </c>
      <c r="Q334" t="s">
        <v>392</v>
      </c>
    </row>
    <row r="335" spans="1:17" x14ac:dyDescent="0.3">
      <c r="A335" t="s">
        <v>351</v>
      </c>
      <c r="B335" t="s">
        <v>14</v>
      </c>
      <c r="C335" s="48">
        <v>45786</v>
      </c>
      <c r="D335" t="s">
        <v>15</v>
      </c>
      <c r="E335" t="s">
        <v>16</v>
      </c>
      <c r="F335">
        <v>3367</v>
      </c>
      <c r="G335">
        <v>302</v>
      </c>
      <c r="H335">
        <v>57</v>
      </c>
      <c r="I335">
        <v>63973</v>
      </c>
      <c r="J335">
        <v>63789</v>
      </c>
      <c r="K335">
        <v>157</v>
      </c>
      <c r="L335">
        <f>SUM(Table2_1[[#This Row],[Likes]:[Comments]])</f>
        <v>3726</v>
      </c>
      <c r="M335" t="s">
        <v>51</v>
      </c>
      <c r="N335" t="s">
        <v>23</v>
      </c>
      <c r="O335" s="67">
        <v>5.8243321401216137E-2</v>
      </c>
      <c r="P335" t="s">
        <v>394</v>
      </c>
      <c r="Q335" t="s">
        <v>51</v>
      </c>
    </row>
    <row r="336" spans="1:17" x14ac:dyDescent="0.3">
      <c r="A336" t="s">
        <v>175</v>
      </c>
      <c r="B336" t="s">
        <v>14</v>
      </c>
      <c r="C336" s="48">
        <v>45788</v>
      </c>
      <c r="D336" t="s">
        <v>44</v>
      </c>
      <c r="E336" t="s">
        <v>92</v>
      </c>
      <c r="F336">
        <v>2493</v>
      </c>
      <c r="G336">
        <v>97</v>
      </c>
      <c r="H336">
        <v>44</v>
      </c>
      <c r="I336">
        <v>42381</v>
      </c>
      <c r="J336">
        <v>41991</v>
      </c>
      <c r="K336">
        <v>242</v>
      </c>
      <c r="L336">
        <f>SUM(Table2_1[[#This Row],[Likes]:[Comments]])</f>
        <v>2634</v>
      </c>
      <c r="M336" t="s">
        <v>72</v>
      </c>
      <c r="N336" t="s">
        <v>34</v>
      </c>
      <c r="O336" s="67">
        <v>6.2150491965739366E-2</v>
      </c>
      <c r="P336" t="s">
        <v>394</v>
      </c>
      <c r="Q336" t="s">
        <v>27</v>
      </c>
    </row>
    <row r="337" spans="1:17" x14ac:dyDescent="0.3">
      <c r="A337" t="s">
        <v>175</v>
      </c>
      <c r="B337" t="s">
        <v>14</v>
      </c>
      <c r="C337" s="48">
        <v>45788</v>
      </c>
      <c r="D337" t="s">
        <v>44</v>
      </c>
      <c r="E337" t="s">
        <v>92</v>
      </c>
      <c r="F337">
        <v>2493</v>
      </c>
      <c r="G337">
        <v>97</v>
      </c>
      <c r="H337">
        <v>44</v>
      </c>
      <c r="I337">
        <v>42381</v>
      </c>
      <c r="J337">
        <v>41991</v>
      </c>
      <c r="K337">
        <v>242</v>
      </c>
      <c r="L337">
        <f>SUM(Table2_1[[#This Row],[Likes]:[Comments]])</f>
        <v>2634</v>
      </c>
      <c r="M337" t="s">
        <v>72</v>
      </c>
      <c r="N337" t="s">
        <v>34</v>
      </c>
      <c r="O337" s="67">
        <v>6.2150491965739366E-2</v>
      </c>
      <c r="P337" t="s">
        <v>395</v>
      </c>
      <c r="Q337" t="s">
        <v>392</v>
      </c>
    </row>
    <row r="338" spans="1:17" x14ac:dyDescent="0.3">
      <c r="A338" t="s">
        <v>24</v>
      </c>
      <c r="B338" t="s">
        <v>25</v>
      </c>
      <c r="C338" s="48">
        <v>45789</v>
      </c>
      <c r="D338" t="s">
        <v>15</v>
      </c>
      <c r="E338" t="s">
        <v>26</v>
      </c>
      <c r="F338">
        <v>2795</v>
      </c>
      <c r="G338">
        <v>105</v>
      </c>
      <c r="H338">
        <v>49</v>
      </c>
      <c r="I338">
        <v>53105</v>
      </c>
      <c r="J338">
        <v>52307</v>
      </c>
      <c r="K338">
        <v>204</v>
      </c>
      <c r="L338">
        <f>SUM(Table2_1[[#This Row],[Likes]:[Comments]])</f>
        <v>2949</v>
      </c>
      <c r="M338" t="s">
        <v>27</v>
      </c>
      <c r="N338" t="s">
        <v>28</v>
      </c>
      <c r="O338" s="67">
        <v>5.5531494209584788E-2</v>
      </c>
      <c r="P338" t="s">
        <v>394</v>
      </c>
      <c r="Q338" t="s">
        <v>27</v>
      </c>
    </row>
    <row r="339" spans="1:17" x14ac:dyDescent="0.3">
      <c r="A339" t="s">
        <v>288</v>
      </c>
      <c r="B339" t="s">
        <v>38</v>
      </c>
      <c r="C339" s="48">
        <v>45790</v>
      </c>
      <c r="D339" t="s">
        <v>44</v>
      </c>
      <c r="E339" t="s">
        <v>49</v>
      </c>
      <c r="F339">
        <v>602</v>
      </c>
      <c r="G339">
        <v>594</v>
      </c>
      <c r="H339">
        <v>156</v>
      </c>
      <c r="I339">
        <v>4214</v>
      </c>
      <c r="J339">
        <v>3363</v>
      </c>
      <c r="K339">
        <v>164</v>
      </c>
      <c r="L339">
        <f>SUM(Table2_1[[#This Row],[Likes]:[Comments]])</f>
        <v>1352</v>
      </c>
      <c r="M339" t="s">
        <v>27</v>
      </c>
      <c r="N339" t="s">
        <v>28</v>
      </c>
      <c r="O339" s="67">
        <v>0.32083531086853345</v>
      </c>
      <c r="P339" t="s">
        <v>394</v>
      </c>
      <c r="Q339" t="s">
        <v>27</v>
      </c>
    </row>
    <row r="340" spans="1:17" x14ac:dyDescent="0.3">
      <c r="A340" t="s">
        <v>361</v>
      </c>
      <c r="B340" t="s">
        <v>38</v>
      </c>
      <c r="C340" s="48">
        <v>45791</v>
      </c>
      <c r="D340" t="s">
        <v>20</v>
      </c>
      <c r="E340" t="s">
        <v>47</v>
      </c>
      <c r="F340">
        <v>2634</v>
      </c>
      <c r="G340">
        <v>726</v>
      </c>
      <c r="H340">
        <v>241</v>
      </c>
      <c r="I340">
        <v>28974</v>
      </c>
      <c r="J340">
        <v>28102</v>
      </c>
      <c r="K340">
        <v>277</v>
      </c>
      <c r="L340">
        <f>SUM(Table2_1[[#This Row],[Likes]:[Comments]])</f>
        <v>3601</v>
      </c>
      <c r="M340" t="s">
        <v>33</v>
      </c>
      <c r="N340" t="s">
        <v>18</v>
      </c>
      <c r="O340" s="67">
        <v>0.12428384068475185</v>
      </c>
      <c r="P340" t="s">
        <v>394</v>
      </c>
      <c r="Q340"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workbookViewId="0">
      <selection activeCell="O22" sqref="O22"/>
    </sheetView>
  </sheetViews>
  <sheetFormatPr defaultColWidth="11.44140625" defaultRowHeight="15" customHeight="1" x14ac:dyDescent="0.3"/>
  <cols>
    <col min="1" max="1" width="11.44140625" style="11"/>
    <col min="3" max="5" width="11.44140625" style="20"/>
    <col min="6" max="6" width="15.33203125" style="16" bestFit="1" customWidth="1"/>
    <col min="7" max="7" width="17.88671875" style="30" customWidth="1"/>
  </cols>
  <sheetData>
    <row r="1" spans="1:8" ht="14.25" customHeight="1" x14ac:dyDescent="0.3">
      <c r="A1" s="12" t="s">
        <v>369</v>
      </c>
      <c r="B1" s="1" t="s">
        <v>1</v>
      </c>
      <c r="C1" s="18" t="s">
        <v>370</v>
      </c>
      <c r="D1" s="17" t="s">
        <v>371</v>
      </c>
      <c r="E1" s="18" t="s">
        <v>372</v>
      </c>
      <c r="F1" s="96" t="s">
        <v>373</v>
      </c>
      <c r="G1" s="28" t="s">
        <v>374</v>
      </c>
      <c r="H1" s="28" t="s">
        <v>429</v>
      </c>
    </row>
    <row r="2" spans="1:8" ht="14.25" customHeight="1" x14ac:dyDescent="0.3">
      <c r="A2" s="13">
        <v>45446</v>
      </c>
      <c r="B2" s="5" t="s">
        <v>30</v>
      </c>
      <c r="C2" s="23">
        <v>1135</v>
      </c>
      <c r="D2" s="23">
        <v>88</v>
      </c>
      <c r="E2" s="23">
        <v>344084</v>
      </c>
      <c r="F2" s="97">
        <v>8.06</v>
      </c>
      <c r="G2" s="29">
        <v>5904</v>
      </c>
      <c r="H2" s="20">
        <f>C2-D2</f>
        <v>1047</v>
      </c>
    </row>
    <row r="3" spans="1:8" ht="14.25" customHeight="1" x14ac:dyDescent="0.3">
      <c r="A3" s="13">
        <v>45446</v>
      </c>
      <c r="B3" s="5" t="s">
        <v>38</v>
      </c>
      <c r="C3" s="23">
        <v>1312</v>
      </c>
      <c r="D3" s="23">
        <v>310</v>
      </c>
      <c r="E3" s="23">
        <v>42654</v>
      </c>
      <c r="F3" s="97">
        <v>4.9800000000000004</v>
      </c>
      <c r="G3" s="29">
        <v>9566</v>
      </c>
      <c r="H3" s="20">
        <f t="shared" ref="H3:H66" si="0">C3-D3</f>
        <v>1002</v>
      </c>
    </row>
    <row r="4" spans="1:8" ht="14.25" customHeight="1" x14ac:dyDescent="0.3">
      <c r="A4" s="13">
        <v>45446</v>
      </c>
      <c r="B4" s="5" t="s">
        <v>14</v>
      </c>
      <c r="C4" s="23">
        <v>584</v>
      </c>
      <c r="D4" s="23">
        <v>169</v>
      </c>
      <c r="E4" s="23">
        <v>146834</v>
      </c>
      <c r="F4" s="97">
        <v>8.31</v>
      </c>
      <c r="G4" s="29">
        <v>26752</v>
      </c>
      <c r="H4" s="20">
        <f t="shared" si="0"/>
        <v>415</v>
      </c>
    </row>
    <row r="5" spans="1:8" ht="14.25" customHeight="1" x14ac:dyDescent="0.3">
      <c r="A5" s="13">
        <v>45446</v>
      </c>
      <c r="B5" s="5" t="s">
        <v>25</v>
      </c>
      <c r="C5" s="23">
        <v>1535</v>
      </c>
      <c r="D5" s="23">
        <v>445</v>
      </c>
      <c r="E5" s="23">
        <v>395536</v>
      </c>
      <c r="F5" s="97">
        <v>4.1100000000000003</v>
      </c>
      <c r="G5" s="29">
        <v>30671</v>
      </c>
      <c r="H5" s="20">
        <f t="shared" si="0"/>
        <v>1090</v>
      </c>
    </row>
    <row r="6" spans="1:8" ht="14.25" customHeight="1" x14ac:dyDescent="0.3">
      <c r="A6" s="13">
        <v>45453</v>
      </c>
      <c r="B6" s="5" t="s">
        <v>30</v>
      </c>
      <c r="C6" s="23">
        <v>656</v>
      </c>
      <c r="D6" s="23">
        <v>139</v>
      </c>
      <c r="E6" s="23">
        <v>49157</v>
      </c>
      <c r="F6" s="97">
        <v>9.0500000000000007</v>
      </c>
      <c r="G6" s="29">
        <v>9920</v>
      </c>
      <c r="H6" s="20">
        <f t="shared" si="0"/>
        <v>517</v>
      </c>
    </row>
    <row r="7" spans="1:8" ht="14.25" customHeight="1" x14ac:dyDescent="0.3">
      <c r="A7" s="13">
        <v>45453</v>
      </c>
      <c r="B7" s="5" t="s">
        <v>38</v>
      </c>
      <c r="C7" s="23">
        <v>1697</v>
      </c>
      <c r="D7" s="23">
        <v>414</v>
      </c>
      <c r="E7" s="23">
        <v>316555</v>
      </c>
      <c r="F7" s="97">
        <v>2.37</v>
      </c>
      <c r="G7" s="29">
        <v>7924</v>
      </c>
      <c r="H7" s="20">
        <f t="shared" si="0"/>
        <v>1283</v>
      </c>
    </row>
    <row r="8" spans="1:8" ht="14.25" customHeight="1" x14ac:dyDescent="0.3">
      <c r="A8" s="13">
        <v>45453</v>
      </c>
      <c r="B8" s="5" t="s">
        <v>14</v>
      </c>
      <c r="C8" s="23">
        <v>436</v>
      </c>
      <c r="D8" s="23">
        <v>250</v>
      </c>
      <c r="E8" s="23">
        <v>254347</v>
      </c>
      <c r="F8" s="97">
        <v>4.01</v>
      </c>
      <c r="G8" s="29">
        <v>8912</v>
      </c>
      <c r="H8" s="20">
        <f t="shared" si="0"/>
        <v>186</v>
      </c>
    </row>
    <row r="9" spans="1:8" ht="14.25" customHeight="1" x14ac:dyDescent="0.3">
      <c r="A9" s="13">
        <v>45453</v>
      </c>
      <c r="B9" s="5" t="s">
        <v>25</v>
      </c>
      <c r="C9" s="23">
        <v>1197</v>
      </c>
      <c r="D9" s="23">
        <v>203</v>
      </c>
      <c r="E9" s="23">
        <v>413878</v>
      </c>
      <c r="F9" s="97">
        <v>3.16</v>
      </c>
      <c r="G9" s="29">
        <v>21205</v>
      </c>
      <c r="H9" s="20">
        <f t="shared" si="0"/>
        <v>994</v>
      </c>
    </row>
    <row r="10" spans="1:8" ht="14.25" customHeight="1" x14ac:dyDescent="0.3">
      <c r="A10" s="13">
        <v>45460</v>
      </c>
      <c r="B10" s="5" t="s">
        <v>30</v>
      </c>
      <c r="C10" s="23">
        <v>1048</v>
      </c>
      <c r="D10" s="23">
        <v>155</v>
      </c>
      <c r="E10" s="23">
        <v>456946</v>
      </c>
      <c r="F10" s="97">
        <v>2.46</v>
      </c>
      <c r="G10" s="29">
        <v>11329</v>
      </c>
      <c r="H10" s="20">
        <f t="shared" si="0"/>
        <v>893</v>
      </c>
    </row>
    <row r="11" spans="1:8" ht="14.25" customHeight="1" x14ac:dyDescent="0.3">
      <c r="A11" s="13">
        <v>45460</v>
      </c>
      <c r="B11" s="5" t="s">
        <v>38</v>
      </c>
      <c r="C11" s="23">
        <v>1753</v>
      </c>
      <c r="D11" s="23">
        <v>371</v>
      </c>
      <c r="E11" s="23">
        <v>169496</v>
      </c>
      <c r="F11" s="97">
        <v>8.11</v>
      </c>
      <c r="G11" s="29">
        <v>46670</v>
      </c>
      <c r="H11" s="20">
        <f t="shared" si="0"/>
        <v>1382</v>
      </c>
    </row>
    <row r="12" spans="1:8" ht="14.25" customHeight="1" x14ac:dyDescent="0.3">
      <c r="A12" s="13">
        <v>45460</v>
      </c>
      <c r="B12" s="5" t="s">
        <v>14</v>
      </c>
      <c r="C12" s="23">
        <v>1335</v>
      </c>
      <c r="D12" s="23">
        <v>40</v>
      </c>
      <c r="E12" s="23">
        <v>122732</v>
      </c>
      <c r="F12" s="97">
        <v>8.19</v>
      </c>
      <c r="G12" s="29">
        <v>22482</v>
      </c>
      <c r="H12" s="20">
        <f t="shared" si="0"/>
        <v>1295</v>
      </c>
    </row>
    <row r="13" spans="1:8" ht="14.25" customHeight="1" x14ac:dyDescent="0.3">
      <c r="A13" s="13">
        <v>45460</v>
      </c>
      <c r="B13" s="5" t="s">
        <v>25</v>
      </c>
      <c r="C13" s="23">
        <v>403</v>
      </c>
      <c r="D13" s="23">
        <v>66</v>
      </c>
      <c r="E13" s="23">
        <v>382851</v>
      </c>
      <c r="F13" s="97">
        <v>3.49</v>
      </c>
      <c r="G13" s="29">
        <v>24313</v>
      </c>
      <c r="H13" s="20">
        <f t="shared" si="0"/>
        <v>337</v>
      </c>
    </row>
    <row r="14" spans="1:8" ht="14.25" customHeight="1" x14ac:dyDescent="0.3">
      <c r="A14" s="13">
        <v>45467</v>
      </c>
      <c r="B14" s="5" t="s">
        <v>30</v>
      </c>
      <c r="C14" s="23">
        <v>911</v>
      </c>
      <c r="D14" s="23">
        <v>282</v>
      </c>
      <c r="E14" s="23">
        <v>35664</v>
      </c>
      <c r="F14" s="97">
        <v>6.92</v>
      </c>
      <c r="G14" s="29">
        <v>18050</v>
      </c>
      <c r="H14" s="20">
        <f t="shared" si="0"/>
        <v>629</v>
      </c>
    </row>
    <row r="15" spans="1:8" ht="14.25" customHeight="1" x14ac:dyDescent="0.3">
      <c r="A15" s="13">
        <v>45467</v>
      </c>
      <c r="B15" s="5" t="s">
        <v>38</v>
      </c>
      <c r="C15" s="23">
        <v>1779</v>
      </c>
      <c r="D15" s="23">
        <v>109</v>
      </c>
      <c r="E15" s="23">
        <v>26295</v>
      </c>
      <c r="F15" s="97">
        <v>9.1199999999999992</v>
      </c>
      <c r="G15" s="29">
        <v>30635</v>
      </c>
      <c r="H15" s="20">
        <f t="shared" si="0"/>
        <v>1670</v>
      </c>
    </row>
    <row r="16" spans="1:8" ht="14.25" customHeight="1" x14ac:dyDescent="0.3">
      <c r="A16" s="13">
        <v>45467</v>
      </c>
      <c r="B16" s="5" t="s">
        <v>14</v>
      </c>
      <c r="C16" s="23">
        <v>1238</v>
      </c>
      <c r="D16" s="23">
        <v>403</v>
      </c>
      <c r="E16" s="23">
        <v>298421</v>
      </c>
      <c r="F16" s="97">
        <v>3.5</v>
      </c>
      <c r="G16" s="29">
        <v>31280</v>
      </c>
      <c r="H16" s="20">
        <f t="shared" si="0"/>
        <v>835</v>
      </c>
    </row>
    <row r="17" spans="1:8" ht="14.25" customHeight="1" x14ac:dyDescent="0.3">
      <c r="A17" s="13">
        <v>45467</v>
      </c>
      <c r="B17" s="5" t="s">
        <v>25</v>
      </c>
      <c r="C17" s="23">
        <v>308</v>
      </c>
      <c r="D17" s="23">
        <v>431</v>
      </c>
      <c r="E17" s="23">
        <v>426184</v>
      </c>
      <c r="F17" s="97">
        <v>2.62</v>
      </c>
      <c r="G17" s="29">
        <v>1783</v>
      </c>
      <c r="H17" s="20">
        <f t="shared" si="0"/>
        <v>-123</v>
      </c>
    </row>
    <row r="18" spans="1:8" ht="14.25" customHeight="1" x14ac:dyDescent="0.3">
      <c r="A18" s="13">
        <v>45474</v>
      </c>
      <c r="B18" s="5" t="s">
        <v>30</v>
      </c>
      <c r="C18" s="23">
        <v>226</v>
      </c>
      <c r="D18" s="23">
        <v>445</v>
      </c>
      <c r="E18" s="23">
        <v>419447</v>
      </c>
      <c r="F18" s="97">
        <v>9.36</v>
      </c>
      <c r="G18" s="29">
        <v>9566</v>
      </c>
      <c r="H18" s="20">
        <f t="shared" si="0"/>
        <v>-219</v>
      </c>
    </row>
    <row r="19" spans="1:8" ht="14.25" customHeight="1" x14ac:dyDescent="0.3">
      <c r="A19" s="13">
        <v>45474</v>
      </c>
      <c r="B19" s="5" t="s">
        <v>38</v>
      </c>
      <c r="C19" s="23">
        <v>505</v>
      </c>
      <c r="D19" s="23">
        <v>441</v>
      </c>
      <c r="E19" s="23">
        <v>220020</v>
      </c>
      <c r="F19" s="97">
        <v>4.4800000000000004</v>
      </c>
      <c r="G19" s="29">
        <v>42307</v>
      </c>
      <c r="H19" s="20">
        <f t="shared" si="0"/>
        <v>64</v>
      </c>
    </row>
    <row r="20" spans="1:8" ht="14.25" customHeight="1" x14ac:dyDescent="0.3">
      <c r="A20" s="13">
        <v>45474</v>
      </c>
      <c r="B20" s="5" t="s">
        <v>14</v>
      </c>
      <c r="C20" s="23">
        <v>1420</v>
      </c>
      <c r="D20" s="23">
        <v>63</v>
      </c>
      <c r="E20" s="23">
        <v>315305</v>
      </c>
      <c r="F20" s="97">
        <v>6.19</v>
      </c>
      <c r="G20" s="29">
        <v>5914</v>
      </c>
      <c r="H20" s="20">
        <f t="shared" si="0"/>
        <v>1357</v>
      </c>
    </row>
    <row r="21" spans="1:8" ht="14.25" customHeight="1" x14ac:dyDescent="0.3">
      <c r="A21" s="13">
        <v>45474</v>
      </c>
      <c r="B21" s="5" t="s">
        <v>25</v>
      </c>
      <c r="C21" s="23">
        <v>144</v>
      </c>
      <c r="D21" s="23">
        <v>53</v>
      </c>
      <c r="E21" s="23">
        <v>113678</v>
      </c>
      <c r="F21" s="97">
        <v>8.7200000000000006</v>
      </c>
      <c r="G21" s="29">
        <v>30060</v>
      </c>
      <c r="H21" s="20">
        <f t="shared" si="0"/>
        <v>91</v>
      </c>
    </row>
    <row r="22" spans="1:8" ht="14.25" customHeight="1" x14ac:dyDescent="0.3">
      <c r="A22" s="13">
        <v>45481</v>
      </c>
      <c r="B22" s="5" t="s">
        <v>30</v>
      </c>
      <c r="C22" s="23">
        <v>1757</v>
      </c>
      <c r="D22" s="23">
        <v>85</v>
      </c>
      <c r="E22" s="23">
        <v>58223</v>
      </c>
      <c r="F22" s="97">
        <v>8.74</v>
      </c>
      <c r="G22" s="29">
        <v>22728</v>
      </c>
      <c r="H22" s="20">
        <f t="shared" si="0"/>
        <v>1672</v>
      </c>
    </row>
    <row r="23" spans="1:8" ht="14.25" customHeight="1" x14ac:dyDescent="0.3">
      <c r="A23" s="13">
        <v>45481</v>
      </c>
      <c r="B23" s="5" t="s">
        <v>38</v>
      </c>
      <c r="C23" s="23">
        <v>350</v>
      </c>
      <c r="D23" s="23">
        <v>41</v>
      </c>
      <c r="E23" s="23">
        <v>251694</v>
      </c>
      <c r="F23" s="97">
        <v>1.91</v>
      </c>
      <c r="G23" s="29">
        <v>38610</v>
      </c>
      <c r="H23" s="20">
        <f t="shared" si="0"/>
        <v>309</v>
      </c>
    </row>
    <row r="24" spans="1:8" ht="14.25" customHeight="1" x14ac:dyDescent="0.3">
      <c r="A24" s="13">
        <v>45481</v>
      </c>
      <c r="B24" s="5" t="s">
        <v>14</v>
      </c>
      <c r="C24" s="23">
        <v>987</v>
      </c>
      <c r="D24" s="23">
        <v>440</v>
      </c>
      <c r="E24" s="23">
        <v>389810</v>
      </c>
      <c r="F24" s="97">
        <v>4.66</v>
      </c>
      <c r="G24" s="29">
        <v>2932</v>
      </c>
      <c r="H24" s="20">
        <f t="shared" si="0"/>
        <v>547</v>
      </c>
    </row>
    <row r="25" spans="1:8" ht="14.25" customHeight="1" x14ac:dyDescent="0.3">
      <c r="A25" s="13">
        <v>45481</v>
      </c>
      <c r="B25" s="5" t="s">
        <v>25</v>
      </c>
      <c r="C25" s="23">
        <v>883</v>
      </c>
      <c r="D25" s="23">
        <v>369</v>
      </c>
      <c r="E25" s="23">
        <v>233694</v>
      </c>
      <c r="F25" s="97">
        <v>2.88</v>
      </c>
      <c r="G25" s="29">
        <v>15071</v>
      </c>
      <c r="H25" s="20">
        <f t="shared" si="0"/>
        <v>514</v>
      </c>
    </row>
    <row r="26" spans="1:8" ht="14.25" customHeight="1" x14ac:dyDescent="0.3">
      <c r="A26" s="13">
        <v>45488</v>
      </c>
      <c r="B26" s="5" t="s">
        <v>30</v>
      </c>
      <c r="C26" s="23">
        <v>1960</v>
      </c>
      <c r="D26" s="23">
        <v>115</v>
      </c>
      <c r="E26" s="23">
        <v>154169</v>
      </c>
      <c r="F26" s="97">
        <v>3.74</v>
      </c>
      <c r="G26" s="29">
        <v>10740</v>
      </c>
      <c r="H26" s="20">
        <f t="shared" si="0"/>
        <v>1845</v>
      </c>
    </row>
    <row r="27" spans="1:8" ht="14.25" customHeight="1" x14ac:dyDescent="0.3">
      <c r="A27" s="13">
        <v>45488</v>
      </c>
      <c r="B27" s="5" t="s">
        <v>38</v>
      </c>
      <c r="C27" s="23">
        <v>170</v>
      </c>
      <c r="D27" s="23">
        <v>334</v>
      </c>
      <c r="E27" s="23">
        <v>334626</v>
      </c>
      <c r="F27" s="97">
        <v>6.44</v>
      </c>
      <c r="G27" s="29">
        <v>43420</v>
      </c>
      <c r="H27" s="20">
        <f t="shared" si="0"/>
        <v>-164</v>
      </c>
    </row>
    <row r="28" spans="1:8" ht="14.25" customHeight="1" x14ac:dyDescent="0.3">
      <c r="A28" s="13">
        <v>45488</v>
      </c>
      <c r="B28" s="5" t="s">
        <v>14</v>
      </c>
      <c r="C28" s="23">
        <v>704</v>
      </c>
      <c r="D28" s="23">
        <v>275</v>
      </c>
      <c r="E28" s="23">
        <v>226002</v>
      </c>
      <c r="F28" s="97">
        <v>8.56</v>
      </c>
      <c r="G28" s="29">
        <v>32393</v>
      </c>
      <c r="H28" s="20">
        <f t="shared" si="0"/>
        <v>429</v>
      </c>
    </row>
    <row r="29" spans="1:8" ht="14.25" customHeight="1" x14ac:dyDescent="0.3">
      <c r="A29" s="13">
        <v>45488</v>
      </c>
      <c r="B29" s="5" t="s">
        <v>25</v>
      </c>
      <c r="C29" s="23">
        <v>224</v>
      </c>
      <c r="D29" s="23">
        <v>64</v>
      </c>
      <c r="E29" s="23">
        <v>156683</v>
      </c>
      <c r="F29" s="97">
        <v>4.5599999999999996</v>
      </c>
      <c r="G29" s="29">
        <v>28474</v>
      </c>
      <c r="H29" s="20">
        <f t="shared" si="0"/>
        <v>160</v>
      </c>
    </row>
    <row r="30" spans="1:8" ht="14.25" customHeight="1" x14ac:dyDescent="0.3">
      <c r="A30" s="13">
        <v>45495</v>
      </c>
      <c r="B30" s="5" t="s">
        <v>30</v>
      </c>
      <c r="C30" s="23">
        <v>508</v>
      </c>
      <c r="D30" s="23">
        <v>349</v>
      </c>
      <c r="E30" s="23">
        <v>473812</v>
      </c>
      <c r="F30" s="97">
        <v>7.88</v>
      </c>
      <c r="G30" s="29">
        <v>17328</v>
      </c>
      <c r="H30" s="20">
        <f t="shared" si="0"/>
        <v>159</v>
      </c>
    </row>
    <row r="31" spans="1:8" ht="14.25" customHeight="1" x14ac:dyDescent="0.3">
      <c r="A31" s="13">
        <v>45495</v>
      </c>
      <c r="B31" s="5" t="s">
        <v>38</v>
      </c>
      <c r="C31" s="23">
        <v>1391</v>
      </c>
      <c r="D31" s="23">
        <v>430</v>
      </c>
      <c r="E31" s="23">
        <v>295032</v>
      </c>
      <c r="F31" s="97">
        <v>7.86</v>
      </c>
      <c r="G31" s="29">
        <v>26067</v>
      </c>
      <c r="H31" s="20">
        <f t="shared" si="0"/>
        <v>961</v>
      </c>
    </row>
    <row r="32" spans="1:8" ht="14.25" customHeight="1" x14ac:dyDescent="0.3">
      <c r="A32" s="13">
        <v>45495</v>
      </c>
      <c r="B32" s="5" t="s">
        <v>14</v>
      </c>
      <c r="C32" s="23">
        <v>1701</v>
      </c>
      <c r="D32" s="23">
        <v>385</v>
      </c>
      <c r="E32" s="23">
        <v>198278</v>
      </c>
      <c r="F32" s="97">
        <v>5.34</v>
      </c>
      <c r="G32" s="29">
        <v>32763</v>
      </c>
      <c r="H32" s="20">
        <f t="shared" si="0"/>
        <v>1316</v>
      </c>
    </row>
    <row r="33" spans="1:8" ht="14.25" customHeight="1" x14ac:dyDescent="0.3">
      <c r="A33" s="13">
        <v>45495</v>
      </c>
      <c r="B33" s="5" t="s">
        <v>25</v>
      </c>
      <c r="C33" s="23">
        <v>804</v>
      </c>
      <c r="D33" s="23">
        <v>487</v>
      </c>
      <c r="E33" s="23">
        <v>306564</v>
      </c>
      <c r="F33" s="97">
        <v>5.52</v>
      </c>
      <c r="G33" s="29">
        <v>26452</v>
      </c>
      <c r="H33" s="20">
        <f t="shared" si="0"/>
        <v>317</v>
      </c>
    </row>
    <row r="34" spans="1:8" ht="14.25" customHeight="1" x14ac:dyDescent="0.3">
      <c r="A34" s="13">
        <v>45502</v>
      </c>
      <c r="B34" s="5" t="s">
        <v>30</v>
      </c>
      <c r="C34" s="23">
        <v>653</v>
      </c>
      <c r="D34" s="23">
        <v>112</v>
      </c>
      <c r="E34" s="23">
        <v>23664</v>
      </c>
      <c r="F34" s="97">
        <v>4.05</v>
      </c>
      <c r="G34" s="29">
        <v>15353</v>
      </c>
      <c r="H34" s="20">
        <f t="shared" si="0"/>
        <v>541</v>
      </c>
    </row>
    <row r="35" spans="1:8" ht="14.25" customHeight="1" x14ac:dyDescent="0.3">
      <c r="A35" s="13">
        <v>45502</v>
      </c>
      <c r="B35" s="5" t="s">
        <v>38</v>
      </c>
      <c r="C35" s="23">
        <v>160</v>
      </c>
      <c r="D35" s="23">
        <v>478</v>
      </c>
      <c r="E35" s="23">
        <v>435034</v>
      </c>
      <c r="F35" s="97">
        <v>7.73</v>
      </c>
      <c r="G35" s="29">
        <v>4839</v>
      </c>
      <c r="H35" s="20">
        <f t="shared" si="0"/>
        <v>-318</v>
      </c>
    </row>
    <row r="36" spans="1:8" ht="14.25" customHeight="1" x14ac:dyDescent="0.3">
      <c r="A36" s="13">
        <v>45502</v>
      </c>
      <c r="B36" s="5" t="s">
        <v>14</v>
      </c>
      <c r="C36" s="23">
        <v>1756</v>
      </c>
      <c r="D36" s="23">
        <v>261</v>
      </c>
      <c r="E36" s="23">
        <v>287574</v>
      </c>
      <c r="F36" s="97">
        <v>4.3600000000000003</v>
      </c>
      <c r="G36" s="29">
        <v>39272</v>
      </c>
      <c r="H36" s="20">
        <f t="shared" si="0"/>
        <v>1495</v>
      </c>
    </row>
    <row r="37" spans="1:8" ht="14.25" customHeight="1" x14ac:dyDescent="0.3">
      <c r="A37" s="13">
        <v>45502</v>
      </c>
      <c r="B37" s="5" t="s">
        <v>25</v>
      </c>
      <c r="C37" s="23">
        <v>576</v>
      </c>
      <c r="D37" s="23">
        <v>101</v>
      </c>
      <c r="E37" s="23">
        <v>62499</v>
      </c>
      <c r="F37" s="97">
        <v>3.48</v>
      </c>
      <c r="G37" s="29">
        <v>16804</v>
      </c>
      <c r="H37" s="20">
        <f t="shared" si="0"/>
        <v>475</v>
      </c>
    </row>
    <row r="38" spans="1:8" ht="14.25" customHeight="1" x14ac:dyDescent="0.3">
      <c r="A38" s="13">
        <v>45509</v>
      </c>
      <c r="B38" s="5" t="s">
        <v>30</v>
      </c>
      <c r="C38" s="23">
        <v>645</v>
      </c>
      <c r="D38" s="23">
        <v>293</v>
      </c>
      <c r="E38" s="23">
        <v>437968</v>
      </c>
      <c r="F38" s="97">
        <v>7.83</v>
      </c>
      <c r="G38" s="29">
        <v>49303</v>
      </c>
      <c r="H38" s="20">
        <f t="shared" si="0"/>
        <v>352</v>
      </c>
    </row>
    <row r="39" spans="1:8" ht="14.25" customHeight="1" x14ac:dyDescent="0.3">
      <c r="A39" s="13">
        <v>45509</v>
      </c>
      <c r="B39" s="5" t="s">
        <v>38</v>
      </c>
      <c r="C39" s="23">
        <v>214</v>
      </c>
      <c r="D39" s="23">
        <v>411</v>
      </c>
      <c r="E39" s="23">
        <v>125034</v>
      </c>
      <c r="F39" s="97">
        <v>6.11</v>
      </c>
      <c r="G39" s="29">
        <v>26455</v>
      </c>
      <c r="H39" s="20">
        <f t="shared" si="0"/>
        <v>-197</v>
      </c>
    </row>
    <row r="40" spans="1:8" ht="14.25" customHeight="1" x14ac:dyDescent="0.3">
      <c r="A40" s="13">
        <v>45509</v>
      </c>
      <c r="B40" s="5" t="s">
        <v>14</v>
      </c>
      <c r="C40" s="23">
        <v>826</v>
      </c>
      <c r="D40" s="23">
        <v>498</v>
      </c>
      <c r="E40" s="23">
        <v>449994</v>
      </c>
      <c r="F40" s="97">
        <v>9.43</v>
      </c>
      <c r="G40" s="29">
        <v>12384</v>
      </c>
      <c r="H40" s="20">
        <f t="shared" si="0"/>
        <v>328</v>
      </c>
    </row>
    <row r="41" spans="1:8" ht="14.25" customHeight="1" x14ac:dyDescent="0.3">
      <c r="A41" s="13">
        <v>45509</v>
      </c>
      <c r="B41" s="5" t="s">
        <v>25</v>
      </c>
      <c r="C41" s="23">
        <v>460</v>
      </c>
      <c r="D41" s="23">
        <v>141</v>
      </c>
      <c r="E41" s="23">
        <v>320650</v>
      </c>
      <c r="F41" s="97">
        <v>4.04</v>
      </c>
      <c r="G41" s="29">
        <v>49372</v>
      </c>
      <c r="H41" s="20">
        <f t="shared" si="0"/>
        <v>319</v>
      </c>
    </row>
    <row r="42" spans="1:8" ht="14.25" customHeight="1" x14ac:dyDescent="0.3">
      <c r="A42" s="13">
        <v>45516</v>
      </c>
      <c r="B42" s="5" t="s">
        <v>30</v>
      </c>
      <c r="C42" s="23">
        <v>1528</v>
      </c>
      <c r="D42" s="23">
        <v>203</v>
      </c>
      <c r="E42" s="23">
        <v>489188</v>
      </c>
      <c r="F42" s="97">
        <v>6.23</v>
      </c>
      <c r="G42" s="29">
        <v>47101</v>
      </c>
      <c r="H42" s="20">
        <f t="shared" si="0"/>
        <v>1325</v>
      </c>
    </row>
    <row r="43" spans="1:8" ht="14.25" customHeight="1" x14ac:dyDescent="0.3">
      <c r="A43" s="13">
        <v>45516</v>
      </c>
      <c r="B43" s="5" t="s">
        <v>38</v>
      </c>
      <c r="C43" s="23">
        <v>1534</v>
      </c>
      <c r="D43" s="23">
        <v>200</v>
      </c>
      <c r="E43" s="23">
        <v>307612</v>
      </c>
      <c r="F43" s="97">
        <v>6.01</v>
      </c>
      <c r="G43" s="29">
        <v>37903</v>
      </c>
      <c r="H43" s="20">
        <f t="shared" si="0"/>
        <v>1334</v>
      </c>
    </row>
    <row r="44" spans="1:8" ht="14.25" customHeight="1" x14ac:dyDescent="0.3">
      <c r="A44" s="13">
        <v>45516</v>
      </c>
      <c r="B44" s="5" t="s">
        <v>14</v>
      </c>
      <c r="C44" s="23">
        <v>485</v>
      </c>
      <c r="D44" s="23">
        <v>448</v>
      </c>
      <c r="E44" s="23">
        <v>434883</v>
      </c>
      <c r="F44" s="97">
        <v>8.5500000000000007</v>
      </c>
      <c r="G44" s="29">
        <v>33258</v>
      </c>
      <c r="H44" s="20">
        <f t="shared" si="0"/>
        <v>37</v>
      </c>
    </row>
    <row r="45" spans="1:8" ht="14.25" customHeight="1" x14ac:dyDescent="0.3">
      <c r="A45" s="13">
        <v>45516</v>
      </c>
      <c r="B45" s="5" t="s">
        <v>25</v>
      </c>
      <c r="C45" s="23">
        <v>1210</v>
      </c>
      <c r="D45" s="23">
        <v>178</v>
      </c>
      <c r="E45" s="23">
        <v>102042</v>
      </c>
      <c r="F45" s="97">
        <v>5.42</v>
      </c>
      <c r="G45" s="29">
        <v>6915</v>
      </c>
      <c r="H45" s="20">
        <f t="shared" si="0"/>
        <v>1032</v>
      </c>
    </row>
    <row r="46" spans="1:8" ht="14.25" customHeight="1" x14ac:dyDescent="0.3">
      <c r="A46" s="13">
        <v>45523</v>
      </c>
      <c r="B46" s="5" t="s">
        <v>30</v>
      </c>
      <c r="C46" s="23">
        <v>215</v>
      </c>
      <c r="D46" s="23">
        <v>139</v>
      </c>
      <c r="E46" s="23">
        <v>325444</v>
      </c>
      <c r="F46" s="97">
        <v>3.25</v>
      </c>
      <c r="G46" s="29">
        <v>35501</v>
      </c>
      <c r="H46" s="20">
        <f t="shared" si="0"/>
        <v>76</v>
      </c>
    </row>
    <row r="47" spans="1:8" ht="14.25" customHeight="1" x14ac:dyDescent="0.3">
      <c r="A47" s="13">
        <v>45523</v>
      </c>
      <c r="B47" s="5" t="s">
        <v>38</v>
      </c>
      <c r="C47" s="23">
        <v>1078</v>
      </c>
      <c r="D47" s="23">
        <v>20</v>
      </c>
      <c r="E47" s="23">
        <v>183924</v>
      </c>
      <c r="F47" s="97">
        <v>8.84</v>
      </c>
      <c r="G47" s="29">
        <v>14203</v>
      </c>
      <c r="H47" s="20">
        <f t="shared" si="0"/>
        <v>1058</v>
      </c>
    </row>
    <row r="48" spans="1:8" ht="14.25" customHeight="1" x14ac:dyDescent="0.3">
      <c r="A48" s="13">
        <v>45523</v>
      </c>
      <c r="B48" s="5" t="s">
        <v>14</v>
      </c>
      <c r="C48" s="23">
        <v>1751</v>
      </c>
      <c r="D48" s="23">
        <v>86</v>
      </c>
      <c r="E48" s="23">
        <v>188655</v>
      </c>
      <c r="F48" s="97">
        <v>7.24</v>
      </c>
      <c r="G48" s="29">
        <v>22206</v>
      </c>
      <c r="H48" s="20">
        <f t="shared" si="0"/>
        <v>1665</v>
      </c>
    </row>
    <row r="49" spans="1:8" ht="14.25" customHeight="1" x14ac:dyDescent="0.3">
      <c r="A49" s="13">
        <v>45523</v>
      </c>
      <c r="B49" s="5" t="s">
        <v>25</v>
      </c>
      <c r="C49" s="23">
        <v>221</v>
      </c>
      <c r="D49" s="23">
        <v>31</v>
      </c>
      <c r="E49" s="23">
        <v>87443</v>
      </c>
      <c r="F49" s="97">
        <v>6.19</v>
      </c>
      <c r="G49" s="29">
        <v>10283</v>
      </c>
      <c r="H49" s="20">
        <f t="shared" si="0"/>
        <v>190</v>
      </c>
    </row>
    <row r="50" spans="1:8" ht="14.25" customHeight="1" x14ac:dyDescent="0.3">
      <c r="A50" s="13">
        <v>45530</v>
      </c>
      <c r="B50" s="5" t="s">
        <v>30</v>
      </c>
      <c r="C50" s="23">
        <v>1685</v>
      </c>
      <c r="D50" s="23">
        <v>76</v>
      </c>
      <c r="E50" s="23">
        <v>453799</v>
      </c>
      <c r="F50" s="97">
        <v>5.71</v>
      </c>
      <c r="G50" s="29">
        <v>24913</v>
      </c>
      <c r="H50" s="20">
        <f t="shared" si="0"/>
        <v>1609</v>
      </c>
    </row>
    <row r="51" spans="1:8" ht="14.25" customHeight="1" x14ac:dyDescent="0.3">
      <c r="A51" s="13">
        <v>45530</v>
      </c>
      <c r="B51" s="5" t="s">
        <v>38</v>
      </c>
      <c r="C51" s="23">
        <v>248</v>
      </c>
      <c r="D51" s="23">
        <v>211</v>
      </c>
      <c r="E51" s="23">
        <v>379380</v>
      </c>
      <c r="F51" s="97">
        <v>9.0399999999999991</v>
      </c>
      <c r="G51" s="29">
        <v>26925</v>
      </c>
      <c r="H51" s="20">
        <f t="shared" si="0"/>
        <v>37</v>
      </c>
    </row>
    <row r="52" spans="1:8" ht="14.25" customHeight="1" x14ac:dyDescent="0.3">
      <c r="A52" s="13">
        <v>45530</v>
      </c>
      <c r="B52" s="5" t="s">
        <v>14</v>
      </c>
      <c r="C52" s="23">
        <v>1300</v>
      </c>
      <c r="D52" s="23">
        <v>71</v>
      </c>
      <c r="E52" s="23">
        <v>186454</v>
      </c>
      <c r="F52" s="97">
        <v>3.91</v>
      </c>
      <c r="G52" s="29">
        <v>9942</v>
      </c>
      <c r="H52" s="20">
        <f t="shared" si="0"/>
        <v>1229</v>
      </c>
    </row>
    <row r="53" spans="1:8" ht="14.25" customHeight="1" x14ac:dyDescent="0.3">
      <c r="A53" s="13">
        <v>45530</v>
      </c>
      <c r="B53" s="5" t="s">
        <v>25</v>
      </c>
      <c r="C53" s="23">
        <v>422</v>
      </c>
      <c r="D53" s="23">
        <v>394</v>
      </c>
      <c r="E53" s="23">
        <v>239044</v>
      </c>
      <c r="F53" s="97">
        <v>7.83</v>
      </c>
      <c r="G53" s="29">
        <v>32929</v>
      </c>
      <c r="H53" s="20">
        <f t="shared" si="0"/>
        <v>28</v>
      </c>
    </row>
    <row r="54" spans="1:8" ht="14.25" customHeight="1" x14ac:dyDescent="0.3">
      <c r="A54" s="13">
        <v>45537</v>
      </c>
      <c r="B54" s="5" t="s">
        <v>30</v>
      </c>
      <c r="C54" s="23">
        <v>1429</v>
      </c>
      <c r="D54" s="23">
        <v>182</v>
      </c>
      <c r="E54" s="23">
        <v>101332</v>
      </c>
      <c r="F54" s="97">
        <v>7.16</v>
      </c>
      <c r="G54" s="29">
        <v>37829</v>
      </c>
      <c r="H54" s="20">
        <f t="shared" si="0"/>
        <v>1247</v>
      </c>
    </row>
    <row r="55" spans="1:8" ht="14.25" customHeight="1" x14ac:dyDescent="0.3">
      <c r="A55" s="13">
        <v>45537</v>
      </c>
      <c r="B55" s="5" t="s">
        <v>38</v>
      </c>
      <c r="C55" s="23">
        <v>1520</v>
      </c>
      <c r="D55" s="23">
        <v>475</v>
      </c>
      <c r="E55" s="23">
        <v>496982</v>
      </c>
      <c r="F55" s="97">
        <v>6.41</v>
      </c>
      <c r="G55" s="29">
        <v>24384</v>
      </c>
      <c r="H55" s="20">
        <f t="shared" si="0"/>
        <v>1045</v>
      </c>
    </row>
    <row r="56" spans="1:8" ht="14.25" customHeight="1" x14ac:dyDescent="0.3">
      <c r="A56" s="13">
        <v>45537</v>
      </c>
      <c r="B56" s="5" t="s">
        <v>14</v>
      </c>
      <c r="C56" s="23">
        <v>557</v>
      </c>
      <c r="D56" s="23">
        <v>360</v>
      </c>
      <c r="E56" s="23">
        <v>318779</v>
      </c>
      <c r="F56" s="97">
        <v>8.02</v>
      </c>
      <c r="G56" s="29">
        <v>25797</v>
      </c>
      <c r="H56" s="20">
        <f t="shared" si="0"/>
        <v>197</v>
      </c>
    </row>
    <row r="57" spans="1:8" ht="14.25" customHeight="1" x14ac:dyDescent="0.3">
      <c r="A57" s="13">
        <v>45537</v>
      </c>
      <c r="B57" s="5" t="s">
        <v>25</v>
      </c>
      <c r="C57" s="23">
        <v>728</v>
      </c>
      <c r="D57" s="23">
        <v>395</v>
      </c>
      <c r="E57" s="23">
        <v>370971</v>
      </c>
      <c r="F57" s="97">
        <v>3.86</v>
      </c>
      <c r="G57" s="29">
        <v>12646</v>
      </c>
      <c r="H57" s="20">
        <f t="shared" si="0"/>
        <v>333</v>
      </c>
    </row>
    <row r="58" spans="1:8" ht="14.25" customHeight="1" x14ac:dyDescent="0.3">
      <c r="A58" s="13">
        <v>45544</v>
      </c>
      <c r="B58" s="5" t="s">
        <v>30</v>
      </c>
      <c r="C58" s="23">
        <v>1592</v>
      </c>
      <c r="D58" s="23">
        <v>20</v>
      </c>
      <c r="E58" s="23">
        <v>378054</v>
      </c>
      <c r="F58" s="97">
        <v>9.09</v>
      </c>
      <c r="G58" s="29">
        <v>26663</v>
      </c>
      <c r="H58" s="20">
        <f t="shared" si="0"/>
        <v>1572</v>
      </c>
    </row>
    <row r="59" spans="1:8" ht="14.25" customHeight="1" x14ac:dyDescent="0.3">
      <c r="A59" s="13">
        <v>45544</v>
      </c>
      <c r="B59" s="5" t="s">
        <v>38</v>
      </c>
      <c r="C59" s="23">
        <v>1842</v>
      </c>
      <c r="D59" s="23">
        <v>414</v>
      </c>
      <c r="E59" s="23">
        <v>307524</v>
      </c>
      <c r="F59" s="97">
        <v>1.76</v>
      </c>
      <c r="G59" s="29">
        <v>40478</v>
      </c>
      <c r="H59" s="20">
        <f t="shared" si="0"/>
        <v>1428</v>
      </c>
    </row>
    <row r="60" spans="1:8" ht="14.25" customHeight="1" x14ac:dyDescent="0.3">
      <c r="A60" s="13">
        <v>45544</v>
      </c>
      <c r="B60" s="5" t="s">
        <v>14</v>
      </c>
      <c r="C60" s="23">
        <v>751</v>
      </c>
      <c r="D60" s="23">
        <v>491</v>
      </c>
      <c r="E60" s="23">
        <v>434047</v>
      </c>
      <c r="F60" s="97">
        <v>9.24</v>
      </c>
      <c r="G60" s="29">
        <v>15476</v>
      </c>
      <c r="H60" s="20">
        <f t="shared" si="0"/>
        <v>260</v>
      </c>
    </row>
    <row r="61" spans="1:8" ht="14.25" customHeight="1" x14ac:dyDescent="0.3">
      <c r="A61" s="13">
        <v>45544</v>
      </c>
      <c r="B61" s="5" t="s">
        <v>25</v>
      </c>
      <c r="C61" s="23">
        <v>1409</v>
      </c>
      <c r="D61" s="23">
        <v>309</v>
      </c>
      <c r="E61" s="23">
        <v>64583</v>
      </c>
      <c r="F61" s="97">
        <v>8.99</v>
      </c>
      <c r="G61" s="29">
        <v>10217</v>
      </c>
      <c r="H61" s="20">
        <f t="shared" si="0"/>
        <v>1100</v>
      </c>
    </row>
    <row r="62" spans="1:8" ht="14.25" customHeight="1" x14ac:dyDescent="0.3">
      <c r="A62" s="13">
        <v>45551</v>
      </c>
      <c r="B62" s="5" t="s">
        <v>30</v>
      </c>
      <c r="C62" s="23">
        <v>778</v>
      </c>
      <c r="D62" s="23">
        <v>401</v>
      </c>
      <c r="E62" s="23">
        <v>50793</v>
      </c>
      <c r="F62" s="97">
        <v>3.4</v>
      </c>
      <c r="G62" s="29">
        <v>21939</v>
      </c>
      <c r="H62" s="20">
        <f t="shared" si="0"/>
        <v>377</v>
      </c>
    </row>
    <row r="63" spans="1:8" ht="14.25" customHeight="1" x14ac:dyDescent="0.3">
      <c r="A63" s="13">
        <v>45551</v>
      </c>
      <c r="B63" s="5" t="s">
        <v>38</v>
      </c>
      <c r="C63" s="23">
        <v>443</v>
      </c>
      <c r="D63" s="23">
        <v>345</v>
      </c>
      <c r="E63" s="23">
        <v>474162</v>
      </c>
      <c r="F63" s="97">
        <v>9.1999999999999993</v>
      </c>
      <c r="G63" s="29">
        <v>47462</v>
      </c>
      <c r="H63" s="20">
        <f t="shared" si="0"/>
        <v>98</v>
      </c>
    </row>
    <row r="64" spans="1:8" ht="14.25" customHeight="1" x14ac:dyDescent="0.3">
      <c r="A64" s="13">
        <v>45551</v>
      </c>
      <c r="B64" s="5" t="s">
        <v>14</v>
      </c>
      <c r="C64" s="23">
        <v>1472</v>
      </c>
      <c r="D64" s="23">
        <v>347</v>
      </c>
      <c r="E64" s="23">
        <v>392355</v>
      </c>
      <c r="F64" s="97">
        <v>8.59</v>
      </c>
      <c r="G64" s="29">
        <v>30270</v>
      </c>
      <c r="H64" s="20">
        <f t="shared" si="0"/>
        <v>1125</v>
      </c>
    </row>
    <row r="65" spans="1:8" ht="14.25" customHeight="1" x14ac:dyDescent="0.3">
      <c r="A65" s="13">
        <v>45551</v>
      </c>
      <c r="B65" s="5" t="s">
        <v>25</v>
      </c>
      <c r="C65" s="23">
        <v>123</v>
      </c>
      <c r="D65" s="23">
        <v>155</v>
      </c>
      <c r="E65" s="23">
        <v>119934</v>
      </c>
      <c r="F65" s="97">
        <v>3.5</v>
      </c>
      <c r="G65" s="29">
        <v>5442</v>
      </c>
      <c r="H65" s="20">
        <f t="shared" si="0"/>
        <v>-32</v>
      </c>
    </row>
    <row r="66" spans="1:8" ht="14.25" customHeight="1" x14ac:dyDescent="0.3">
      <c r="A66" s="13">
        <v>45558</v>
      </c>
      <c r="B66" s="5" t="s">
        <v>30</v>
      </c>
      <c r="C66" s="23">
        <v>817</v>
      </c>
      <c r="D66" s="23">
        <v>151</v>
      </c>
      <c r="E66" s="23">
        <v>422625</v>
      </c>
      <c r="F66" s="97">
        <v>2.36</v>
      </c>
      <c r="G66" s="29">
        <v>1083</v>
      </c>
      <c r="H66" s="20">
        <f t="shared" si="0"/>
        <v>666</v>
      </c>
    </row>
    <row r="67" spans="1:8" ht="14.25" customHeight="1" x14ac:dyDescent="0.3">
      <c r="A67" s="13">
        <v>45558</v>
      </c>
      <c r="B67" s="5" t="s">
        <v>38</v>
      </c>
      <c r="C67" s="23">
        <v>198</v>
      </c>
      <c r="D67" s="23">
        <v>217</v>
      </c>
      <c r="E67" s="23">
        <v>239753</v>
      </c>
      <c r="F67" s="97">
        <v>7.36</v>
      </c>
      <c r="G67" s="29">
        <v>11901</v>
      </c>
      <c r="H67" s="20">
        <f t="shared" ref="H67:H130" si="1">C67-D67</f>
        <v>-19</v>
      </c>
    </row>
    <row r="68" spans="1:8" ht="14.25" customHeight="1" x14ac:dyDescent="0.3">
      <c r="A68" s="13">
        <v>45558</v>
      </c>
      <c r="B68" s="5" t="s">
        <v>14</v>
      </c>
      <c r="C68" s="23">
        <v>1911</v>
      </c>
      <c r="D68" s="23">
        <v>231</v>
      </c>
      <c r="E68" s="23">
        <v>268516</v>
      </c>
      <c r="F68" s="97">
        <v>8.5500000000000007</v>
      </c>
      <c r="G68" s="29">
        <v>24018</v>
      </c>
      <c r="H68" s="20">
        <f t="shared" si="1"/>
        <v>1680</v>
      </c>
    </row>
    <row r="69" spans="1:8" ht="14.25" customHeight="1" x14ac:dyDescent="0.3">
      <c r="A69" s="13">
        <v>45558</v>
      </c>
      <c r="B69" s="5" t="s">
        <v>25</v>
      </c>
      <c r="C69" s="23">
        <v>1218</v>
      </c>
      <c r="D69" s="23">
        <v>212</v>
      </c>
      <c r="E69" s="23">
        <v>63177</v>
      </c>
      <c r="F69" s="97">
        <v>8.1300000000000008</v>
      </c>
      <c r="G69" s="29">
        <v>38883</v>
      </c>
      <c r="H69" s="20">
        <f t="shared" si="1"/>
        <v>1006</v>
      </c>
    </row>
    <row r="70" spans="1:8" ht="14.25" customHeight="1" x14ac:dyDescent="0.3">
      <c r="A70" s="13">
        <v>45565</v>
      </c>
      <c r="B70" s="5" t="s">
        <v>30</v>
      </c>
      <c r="C70" s="23">
        <v>1433</v>
      </c>
      <c r="D70" s="23">
        <v>408</v>
      </c>
      <c r="E70" s="23">
        <v>370269</v>
      </c>
      <c r="F70" s="97">
        <v>3.3</v>
      </c>
      <c r="G70" s="29">
        <v>30575</v>
      </c>
      <c r="H70" s="20">
        <f t="shared" si="1"/>
        <v>1025</v>
      </c>
    </row>
    <row r="71" spans="1:8" ht="14.25" customHeight="1" x14ac:dyDescent="0.3">
      <c r="A71" s="13">
        <v>45565</v>
      </c>
      <c r="B71" s="5" t="s">
        <v>38</v>
      </c>
      <c r="C71" s="23">
        <v>250</v>
      </c>
      <c r="D71" s="23">
        <v>429</v>
      </c>
      <c r="E71" s="23">
        <v>453423</v>
      </c>
      <c r="F71" s="97">
        <v>1.77</v>
      </c>
      <c r="G71" s="29">
        <v>2315</v>
      </c>
      <c r="H71" s="20">
        <f t="shared" si="1"/>
        <v>-179</v>
      </c>
    </row>
    <row r="72" spans="1:8" ht="14.25" customHeight="1" x14ac:dyDescent="0.3">
      <c r="A72" s="13">
        <v>45565</v>
      </c>
      <c r="B72" s="5" t="s">
        <v>14</v>
      </c>
      <c r="C72" s="23">
        <v>752</v>
      </c>
      <c r="D72" s="23">
        <v>153</v>
      </c>
      <c r="E72" s="23">
        <v>64906</v>
      </c>
      <c r="F72" s="97">
        <v>2.09</v>
      </c>
      <c r="G72" s="29">
        <v>12148</v>
      </c>
      <c r="H72" s="20">
        <f t="shared" si="1"/>
        <v>599</v>
      </c>
    </row>
    <row r="73" spans="1:8" ht="14.25" customHeight="1" x14ac:dyDescent="0.3">
      <c r="A73" s="13">
        <v>45565</v>
      </c>
      <c r="B73" s="5" t="s">
        <v>25</v>
      </c>
      <c r="C73" s="23">
        <v>1918</v>
      </c>
      <c r="D73" s="23">
        <v>212</v>
      </c>
      <c r="E73" s="23">
        <v>94360</v>
      </c>
      <c r="F73" s="97">
        <v>7.36</v>
      </c>
      <c r="G73" s="29">
        <v>36851</v>
      </c>
      <c r="H73" s="20">
        <f t="shared" si="1"/>
        <v>1706</v>
      </c>
    </row>
    <row r="74" spans="1:8" ht="14.25" customHeight="1" x14ac:dyDescent="0.3">
      <c r="A74" s="13">
        <v>45572</v>
      </c>
      <c r="B74" s="5" t="s">
        <v>30</v>
      </c>
      <c r="C74" s="23">
        <v>1939</v>
      </c>
      <c r="D74" s="23">
        <v>67</v>
      </c>
      <c r="E74" s="23">
        <v>187183</v>
      </c>
      <c r="F74" s="97">
        <v>6.25</v>
      </c>
      <c r="G74" s="29">
        <v>41215</v>
      </c>
      <c r="H74" s="20">
        <f t="shared" si="1"/>
        <v>1872</v>
      </c>
    </row>
    <row r="75" spans="1:8" ht="14.25" customHeight="1" x14ac:dyDescent="0.3">
      <c r="A75" s="13">
        <v>45572</v>
      </c>
      <c r="B75" s="5" t="s">
        <v>38</v>
      </c>
      <c r="C75" s="23">
        <v>1929</v>
      </c>
      <c r="D75" s="23">
        <v>267</v>
      </c>
      <c r="E75" s="23">
        <v>379363</v>
      </c>
      <c r="F75" s="97">
        <v>1.75</v>
      </c>
      <c r="G75" s="29">
        <v>43836</v>
      </c>
      <c r="H75" s="20">
        <f t="shared" si="1"/>
        <v>1662</v>
      </c>
    </row>
    <row r="76" spans="1:8" ht="14.25" customHeight="1" x14ac:dyDescent="0.3">
      <c r="A76" s="13">
        <v>45572</v>
      </c>
      <c r="B76" s="5" t="s">
        <v>14</v>
      </c>
      <c r="C76" s="23">
        <v>437</v>
      </c>
      <c r="D76" s="23">
        <v>330</v>
      </c>
      <c r="E76" s="23">
        <v>476486</v>
      </c>
      <c r="F76" s="97">
        <v>4.97</v>
      </c>
      <c r="G76" s="29">
        <v>4509</v>
      </c>
      <c r="H76" s="20">
        <f t="shared" si="1"/>
        <v>107</v>
      </c>
    </row>
    <row r="77" spans="1:8" ht="14.25" customHeight="1" x14ac:dyDescent="0.3">
      <c r="A77" s="13">
        <v>45572</v>
      </c>
      <c r="B77" s="5" t="s">
        <v>25</v>
      </c>
      <c r="C77" s="23">
        <v>307</v>
      </c>
      <c r="D77" s="23">
        <v>189</v>
      </c>
      <c r="E77" s="23">
        <v>117767</v>
      </c>
      <c r="F77" s="97">
        <v>9.3000000000000007</v>
      </c>
      <c r="G77" s="29">
        <v>27822</v>
      </c>
      <c r="H77" s="20">
        <f t="shared" si="1"/>
        <v>118</v>
      </c>
    </row>
    <row r="78" spans="1:8" ht="14.25" customHeight="1" x14ac:dyDescent="0.3">
      <c r="A78" s="13">
        <v>45579</v>
      </c>
      <c r="B78" s="5" t="s">
        <v>30</v>
      </c>
      <c r="C78" s="23">
        <v>1527</v>
      </c>
      <c r="D78" s="23">
        <v>303</v>
      </c>
      <c r="E78" s="23">
        <v>388555</v>
      </c>
      <c r="F78" s="97">
        <v>8.9</v>
      </c>
      <c r="G78" s="29">
        <v>36397</v>
      </c>
      <c r="H78" s="20">
        <f t="shared" si="1"/>
        <v>1224</v>
      </c>
    </row>
    <row r="79" spans="1:8" ht="14.25" customHeight="1" x14ac:dyDescent="0.3">
      <c r="A79" s="13">
        <v>45579</v>
      </c>
      <c r="B79" s="5" t="s">
        <v>38</v>
      </c>
      <c r="C79" s="23">
        <v>643</v>
      </c>
      <c r="D79" s="23">
        <v>358</v>
      </c>
      <c r="E79" s="23">
        <v>157599</v>
      </c>
      <c r="F79" s="97">
        <v>3.88</v>
      </c>
      <c r="G79" s="29">
        <v>7285</v>
      </c>
      <c r="H79" s="20">
        <f t="shared" si="1"/>
        <v>285</v>
      </c>
    </row>
    <row r="80" spans="1:8" ht="14.25" customHeight="1" x14ac:dyDescent="0.3">
      <c r="A80" s="13">
        <v>45579</v>
      </c>
      <c r="B80" s="5" t="s">
        <v>14</v>
      </c>
      <c r="C80" s="23">
        <v>201</v>
      </c>
      <c r="D80" s="23">
        <v>221</v>
      </c>
      <c r="E80" s="23">
        <v>309772</v>
      </c>
      <c r="F80" s="97">
        <v>5.9</v>
      </c>
      <c r="G80" s="29">
        <v>33174</v>
      </c>
      <c r="H80" s="20">
        <f t="shared" si="1"/>
        <v>-20</v>
      </c>
    </row>
    <row r="81" spans="1:8" ht="14.25" customHeight="1" x14ac:dyDescent="0.3">
      <c r="A81" s="13">
        <v>45579</v>
      </c>
      <c r="B81" s="5" t="s">
        <v>25</v>
      </c>
      <c r="C81" s="23">
        <v>414</v>
      </c>
      <c r="D81" s="23">
        <v>47</v>
      </c>
      <c r="E81" s="23">
        <v>199178</v>
      </c>
      <c r="F81" s="97">
        <v>1.53</v>
      </c>
      <c r="G81" s="29">
        <v>6742</v>
      </c>
      <c r="H81" s="20">
        <f t="shared" si="1"/>
        <v>367</v>
      </c>
    </row>
    <row r="82" spans="1:8" ht="14.25" customHeight="1" x14ac:dyDescent="0.3">
      <c r="A82" s="13">
        <v>45586</v>
      </c>
      <c r="B82" s="5" t="s">
        <v>30</v>
      </c>
      <c r="C82" s="23">
        <v>703</v>
      </c>
      <c r="D82" s="23">
        <v>441</v>
      </c>
      <c r="E82" s="23">
        <v>357089</v>
      </c>
      <c r="F82" s="97">
        <v>6.5</v>
      </c>
      <c r="G82" s="29">
        <v>32478</v>
      </c>
      <c r="H82" s="20">
        <f t="shared" si="1"/>
        <v>262</v>
      </c>
    </row>
    <row r="83" spans="1:8" ht="14.25" customHeight="1" x14ac:dyDescent="0.3">
      <c r="A83" s="13">
        <v>45586</v>
      </c>
      <c r="B83" s="5" t="s">
        <v>38</v>
      </c>
      <c r="C83" s="23">
        <v>508</v>
      </c>
      <c r="D83" s="23">
        <v>69</v>
      </c>
      <c r="E83" s="23">
        <v>23492</v>
      </c>
      <c r="F83" s="97">
        <v>3.16</v>
      </c>
      <c r="G83" s="29">
        <v>42824</v>
      </c>
      <c r="H83" s="20">
        <f t="shared" si="1"/>
        <v>439</v>
      </c>
    </row>
    <row r="84" spans="1:8" ht="14.25" customHeight="1" x14ac:dyDescent="0.3">
      <c r="A84" s="13">
        <v>45586</v>
      </c>
      <c r="B84" s="5" t="s">
        <v>14</v>
      </c>
      <c r="C84" s="23">
        <v>697</v>
      </c>
      <c r="D84" s="23">
        <v>61</v>
      </c>
      <c r="E84" s="23">
        <v>258287</v>
      </c>
      <c r="F84" s="97">
        <v>8.25</v>
      </c>
      <c r="G84" s="29">
        <v>21208</v>
      </c>
      <c r="H84" s="20">
        <f t="shared" si="1"/>
        <v>636</v>
      </c>
    </row>
    <row r="85" spans="1:8" ht="14.25" customHeight="1" x14ac:dyDescent="0.3">
      <c r="A85" s="13">
        <v>45586</v>
      </c>
      <c r="B85" s="5" t="s">
        <v>25</v>
      </c>
      <c r="C85" s="23">
        <v>1707</v>
      </c>
      <c r="D85" s="23">
        <v>223</v>
      </c>
      <c r="E85" s="23">
        <v>256910</v>
      </c>
      <c r="F85" s="97">
        <v>5.41</v>
      </c>
      <c r="G85" s="29">
        <v>44321</v>
      </c>
      <c r="H85" s="20">
        <f t="shared" si="1"/>
        <v>1484</v>
      </c>
    </row>
    <row r="86" spans="1:8" ht="14.25" customHeight="1" x14ac:dyDescent="0.3">
      <c r="A86" s="13">
        <v>45593</v>
      </c>
      <c r="B86" s="5" t="s">
        <v>30</v>
      </c>
      <c r="C86" s="23">
        <v>642</v>
      </c>
      <c r="D86" s="23">
        <v>66</v>
      </c>
      <c r="E86" s="23">
        <v>346522</v>
      </c>
      <c r="F86" s="97">
        <v>5.85</v>
      </c>
      <c r="G86" s="29">
        <v>13116</v>
      </c>
      <c r="H86" s="20">
        <f t="shared" si="1"/>
        <v>576</v>
      </c>
    </row>
    <row r="87" spans="1:8" ht="14.25" customHeight="1" x14ac:dyDescent="0.3">
      <c r="A87" s="13">
        <v>45593</v>
      </c>
      <c r="B87" s="5" t="s">
        <v>38</v>
      </c>
      <c r="C87" s="23">
        <v>859</v>
      </c>
      <c r="D87" s="23">
        <v>473</v>
      </c>
      <c r="E87" s="23">
        <v>209987</v>
      </c>
      <c r="F87" s="97">
        <v>4.46</v>
      </c>
      <c r="G87" s="29">
        <v>30214</v>
      </c>
      <c r="H87" s="20">
        <f t="shared" si="1"/>
        <v>386</v>
      </c>
    </row>
    <row r="88" spans="1:8" ht="14.25" customHeight="1" x14ac:dyDescent="0.3">
      <c r="A88" s="13">
        <v>45593</v>
      </c>
      <c r="B88" s="5" t="s">
        <v>14</v>
      </c>
      <c r="C88" s="23">
        <v>191</v>
      </c>
      <c r="D88" s="23">
        <v>154</v>
      </c>
      <c r="E88" s="23">
        <v>240550</v>
      </c>
      <c r="F88" s="97">
        <v>5.22</v>
      </c>
      <c r="G88" s="29">
        <v>15827</v>
      </c>
      <c r="H88" s="20">
        <f t="shared" si="1"/>
        <v>37</v>
      </c>
    </row>
    <row r="89" spans="1:8" ht="14.25" customHeight="1" x14ac:dyDescent="0.3">
      <c r="A89" s="13">
        <v>45593</v>
      </c>
      <c r="B89" s="5" t="s">
        <v>25</v>
      </c>
      <c r="C89" s="23">
        <v>1814</v>
      </c>
      <c r="D89" s="23">
        <v>157</v>
      </c>
      <c r="E89" s="23">
        <v>305827</v>
      </c>
      <c r="F89" s="97">
        <v>1.99</v>
      </c>
      <c r="G89" s="29">
        <v>46643</v>
      </c>
      <c r="H89" s="20">
        <f t="shared" si="1"/>
        <v>1657</v>
      </c>
    </row>
    <row r="90" spans="1:8" ht="14.25" customHeight="1" x14ac:dyDescent="0.3">
      <c r="A90" s="13">
        <v>45600</v>
      </c>
      <c r="B90" s="5" t="s">
        <v>30</v>
      </c>
      <c r="C90" s="23">
        <v>1466</v>
      </c>
      <c r="D90" s="23">
        <v>69</v>
      </c>
      <c r="E90" s="23">
        <v>54935</v>
      </c>
      <c r="F90" s="97">
        <v>6.85</v>
      </c>
      <c r="G90" s="29">
        <v>36484</v>
      </c>
      <c r="H90" s="20">
        <f t="shared" si="1"/>
        <v>1397</v>
      </c>
    </row>
    <row r="91" spans="1:8" ht="14.25" customHeight="1" x14ac:dyDescent="0.3">
      <c r="A91" s="13">
        <v>45600</v>
      </c>
      <c r="B91" s="5" t="s">
        <v>38</v>
      </c>
      <c r="C91" s="23">
        <v>947</v>
      </c>
      <c r="D91" s="23">
        <v>407</v>
      </c>
      <c r="E91" s="23">
        <v>319186</v>
      </c>
      <c r="F91" s="97">
        <v>3.32</v>
      </c>
      <c r="G91" s="29">
        <v>4996</v>
      </c>
      <c r="H91" s="20">
        <f t="shared" si="1"/>
        <v>540</v>
      </c>
    </row>
    <row r="92" spans="1:8" ht="14.25" customHeight="1" x14ac:dyDescent="0.3">
      <c r="A92" s="13">
        <v>45600</v>
      </c>
      <c r="B92" s="5" t="s">
        <v>14</v>
      </c>
      <c r="C92" s="23">
        <v>1821</v>
      </c>
      <c r="D92" s="23">
        <v>218</v>
      </c>
      <c r="E92" s="23">
        <v>439080</v>
      </c>
      <c r="F92" s="97">
        <v>5.68</v>
      </c>
      <c r="G92" s="29">
        <v>36095</v>
      </c>
      <c r="H92" s="20">
        <f t="shared" si="1"/>
        <v>1603</v>
      </c>
    </row>
    <row r="93" spans="1:8" ht="14.25" customHeight="1" x14ac:dyDescent="0.3">
      <c r="A93" s="13">
        <v>45600</v>
      </c>
      <c r="B93" s="5" t="s">
        <v>25</v>
      </c>
      <c r="C93" s="23">
        <v>1507</v>
      </c>
      <c r="D93" s="23">
        <v>463</v>
      </c>
      <c r="E93" s="23">
        <v>258944</v>
      </c>
      <c r="F93" s="97">
        <v>6.08</v>
      </c>
      <c r="G93" s="29">
        <v>16443</v>
      </c>
      <c r="H93" s="20">
        <f t="shared" si="1"/>
        <v>1044</v>
      </c>
    </row>
    <row r="94" spans="1:8" ht="14.25" customHeight="1" x14ac:dyDescent="0.3">
      <c r="A94" s="13">
        <v>45607</v>
      </c>
      <c r="B94" s="5" t="s">
        <v>30</v>
      </c>
      <c r="C94" s="23">
        <v>1075</v>
      </c>
      <c r="D94" s="23">
        <v>173</v>
      </c>
      <c r="E94" s="23">
        <v>51395</v>
      </c>
      <c r="F94" s="97">
        <v>4.66</v>
      </c>
      <c r="G94" s="29">
        <v>47812</v>
      </c>
      <c r="H94" s="20">
        <f t="shared" si="1"/>
        <v>902</v>
      </c>
    </row>
    <row r="95" spans="1:8" ht="14.25" customHeight="1" x14ac:dyDescent="0.3">
      <c r="A95" s="13">
        <v>45607</v>
      </c>
      <c r="B95" s="5" t="s">
        <v>38</v>
      </c>
      <c r="C95" s="23">
        <v>171</v>
      </c>
      <c r="D95" s="23">
        <v>277</v>
      </c>
      <c r="E95" s="23">
        <v>309483</v>
      </c>
      <c r="F95" s="97">
        <v>8.6999999999999993</v>
      </c>
      <c r="G95" s="29">
        <v>38452</v>
      </c>
      <c r="H95" s="20">
        <f t="shared" si="1"/>
        <v>-106</v>
      </c>
    </row>
    <row r="96" spans="1:8" ht="14.25" customHeight="1" x14ac:dyDescent="0.3">
      <c r="A96" s="13">
        <v>45607</v>
      </c>
      <c r="B96" s="5" t="s">
        <v>14</v>
      </c>
      <c r="C96" s="23">
        <v>1487</v>
      </c>
      <c r="D96" s="23">
        <v>337</v>
      </c>
      <c r="E96" s="23">
        <v>87305</v>
      </c>
      <c r="F96" s="97">
        <v>2.46</v>
      </c>
      <c r="G96" s="29">
        <v>30428</v>
      </c>
      <c r="H96" s="20">
        <f t="shared" si="1"/>
        <v>1150</v>
      </c>
    </row>
    <row r="97" spans="1:8" ht="14.25" customHeight="1" x14ac:dyDescent="0.3">
      <c r="A97" s="13">
        <v>45607</v>
      </c>
      <c r="B97" s="5" t="s">
        <v>25</v>
      </c>
      <c r="C97" s="23">
        <v>454</v>
      </c>
      <c r="D97" s="23">
        <v>105</v>
      </c>
      <c r="E97" s="23">
        <v>121091</v>
      </c>
      <c r="F97" s="97">
        <v>7.97</v>
      </c>
      <c r="G97" s="29">
        <v>9269</v>
      </c>
      <c r="H97" s="20">
        <f t="shared" si="1"/>
        <v>349</v>
      </c>
    </row>
    <row r="98" spans="1:8" ht="14.25" customHeight="1" x14ac:dyDescent="0.3">
      <c r="A98" s="13">
        <v>45614</v>
      </c>
      <c r="B98" s="5" t="s">
        <v>30</v>
      </c>
      <c r="C98" s="23">
        <v>187</v>
      </c>
      <c r="D98" s="23">
        <v>236</v>
      </c>
      <c r="E98" s="23">
        <v>51087</v>
      </c>
      <c r="F98" s="97">
        <v>9.41</v>
      </c>
      <c r="G98" s="29">
        <v>29533</v>
      </c>
      <c r="H98" s="20">
        <f t="shared" si="1"/>
        <v>-49</v>
      </c>
    </row>
    <row r="99" spans="1:8" ht="14.25" customHeight="1" x14ac:dyDescent="0.3">
      <c r="A99" s="13">
        <v>45614</v>
      </c>
      <c r="B99" s="5" t="s">
        <v>38</v>
      </c>
      <c r="C99" s="23">
        <v>513</v>
      </c>
      <c r="D99" s="23">
        <v>441</v>
      </c>
      <c r="E99" s="23">
        <v>338847</v>
      </c>
      <c r="F99" s="97">
        <v>2.68</v>
      </c>
      <c r="G99" s="29">
        <v>39997</v>
      </c>
      <c r="H99" s="20">
        <f t="shared" si="1"/>
        <v>72</v>
      </c>
    </row>
    <row r="100" spans="1:8" ht="14.25" customHeight="1" x14ac:dyDescent="0.3">
      <c r="A100" s="13">
        <v>45614</v>
      </c>
      <c r="B100" s="5" t="s">
        <v>14</v>
      </c>
      <c r="C100" s="23">
        <v>628</v>
      </c>
      <c r="D100" s="23">
        <v>183</v>
      </c>
      <c r="E100" s="23">
        <v>487523</v>
      </c>
      <c r="F100" s="97">
        <v>7.32</v>
      </c>
      <c r="G100" s="29">
        <v>5391</v>
      </c>
      <c r="H100" s="20">
        <f t="shared" si="1"/>
        <v>445</v>
      </c>
    </row>
    <row r="101" spans="1:8" ht="14.25" customHeight="1" x14ac:dyDescent="0.3">
      <c r="A101" s="13">
        <v>45614</v>
      </c>
      <c r="B101" s="5" t="s">
        <v>25</v>
      </c>
      <c r="C101" s="23">
        <v>278</v>
      </c>
      <c r="D101" s="23">
        <v>218</v>
      </c>
      <c r="E101" s="23">
        <v>301695</v>
      </c>
      <c r="F101" s="97">
        <v>4.68</v>
      </c>
      <c r="G101" s="29">
        <v>22373</v>
      </c>
      <c r="H101" s="20">
        <f t="shared" si="1"/>
        <v>60</v>
      </c>
    </row>
    <row r="102" spans="1:8" ht="14.25" customHeight="1" x14ac:dyDescent="0.3">
      <c r="A102" s="13">
        <v>45621</v>
      </c>
      <c r="B102" s="5" t="s">
        <v>30</v>
      </c>
      <c r="C102" s="23">
        <v>1854</v>
      </c>
      <c r="D102" s="23">
        <v>161</v>
      </c>
      <c r="E102" s="23">
        <v>282466</v>
      </c>
      <c r="F102" s="97">
        <v>5.17</v>
      </c>
      <c r="G102" s="29">
        <v>1810</v>
      </c>
      <c r="H102" s="20">
        <f t="shared" si="1"/>
        <v>1693</v>
      </c>
    </row>
    <row r="103" spans="1:8" ht="14.25" customHeight="1" x14ac:dyDescent="0.3">
      <c r="A103" s="13">
        <v>45621</v>
      </c>
      <c r="B103" s="5" t="s">
        <v>38</v>
      </c>
      <c r="C103" s="23">
        <v>1710</v>
      </c>
      <c r="D103" s="23">
        <v>378</v>
      </c>
      <c r="E103" s="23">
        <v>336661</v>
      </c>
      <c r="F103" s="97">
        <v>6.2</v>
      </c>
      <c r="G103" s="29">
        <v>28498</v>
      </c>
      <c r="H103" s="20">
        <f t="shared" si="1"/>
        <v>1332</v>
      </c>
    </row>
    <row r="104" spans="1:8" ht="14.25" customHeight="1" x14ac:dyDescent="0.3">
      <c r="A104" s="13">
        <v>45621</v>
      </c>
      <c r="B104" s="5" t="s">
        <v>14</v>
      </c>
      <c r="C104" s="23">
        <v>330</v>
      </c>
      <c r="D104" s="23">
        <v>232</v>
      </c>
      <c r="E104" s="23">
        <v>88455</v>
      </c>
      <c r="F104" s="97">
        <v>2.69</v>
      </c>
      <c r="G104" s="29">
        <v>39530</v>
      </c>
      <c r="H104" s="20">
        <f t="shared" si="1"/>
        <v>98</v>
      </c>
    </row>
    <row r="105" spans="1:8" ht="14.25" customHeight="1" x14ac:dyDescent="0.3">
      <c r="A105" s="13">
        <v>45621</v>
      </c>
      <c r="B105" s="5" t="s">
        <v>25</v>
      </c>
      <c r="C105" s="23">
        <v>1293</v>
      </c>
      <c r="D105" s="23">
        <v>408</v>
      </c>
      <c r="E105" s="23">
        <v>62535</v>
      </c>
      <c r="F105" s="97">
        <v>8.9</v>
      </c>
      <c r="G105" s="29">
        <v>37876</v>
      </c>
      <c r="H105" s="20">
        <f t="shared" si="1"/>
        <v>885</v>
      </c>
    </row>
    <row r="106" spans="1:8" ht="14.25" customHeight="1" x14ac:dyDescent="0.3">
      <c r="A106" s="13">
        <v>45628</v>
      </c>
      <c r="B106" s="5" t="s">
        <v>30</v>
      </c>
      <c r="C106" s="23">
        <v>1696</v>
      </c>
      <c r="D106" s="23">
        <v>71</v>
      </c>
      <c r="E106" s="23">
        <v>421957</v>
      </c>
      <c r="F106" s="97">
        <v>3.79</v>
      </c>
      <c r="G106" s="29">
        <v>36103</v>
      </c>
      <c r="H106" s="20">
        <f t="shared" si="1"/>
        <v>1625</v>
      </c>
    </row>
    <row r="107" spans="1:8" ht="14.25" customHeight="1" x14ac:dyDescent="0.3">
      <c r="A107" s="13">
        <v>45628</v>
      </c>
      <c r="B107" s="5" t="s">
        <v>38</v>
      </c>
      <c r="C107" s="23">
        <v>1902</v>
      </c>
      <c r="D107" s="23">
        <v>196</v>
      </c>
      <c r="E107" s="23">
        <v>470269</v>
      </c>
      <c r="F107" s="97">
        <v>4.79</v>
      </c>
      <c r="G107" s="29">
        <v>26103</v>
      </c>
      <c r="H107" s="20">
        <f t="shared" si="1"/>
        <v>1706</v>
      </c>
    </row>
    <row r="108" spans="1:8" ht="14.25" customHeight="1" x14ac:dyDescent="0.3">
      <c r="A108" s="13">
        <v>45628</v>
      </c>
      <c r="B108" s="5" t="s">
        <v>14</v>
      </c>
      <c r="C108" s="23">
        <v>1441</v>
      </c>
      <c r="D108" s="23">
        <v>268</v>
      </c>
      <c r="E108" s="23">
        <v>309904</v>
      </c>
      <c r="F108" s="97">
        <v>6.37</v>
      </c>
      <c r="G108" s="29">
        <v>3455</v>
      </c>
      <c r="H108" s="20">
        <f t="shared" si="1"/>
        <v>1173</v>
      </c>
    </row>
    <row r="109" spans="1:8" ht="14.25" customHeight="1" x14ac:dyDescent="0.3">
      <c r="A109" s="13">
        <v>45628</v>
      </c>
      <c r="B109" s="5" t="s">
        <v>25</v>
      </c>
      <c r="C109" s="23">
        <v>452</v>
      </c>
      <c r="D109" s="23">
        <v>161</v>
      </c>
      <c r="E109" s="23">
        <v>221274</v>
      </c>
      <c r="F109" s="97">
        <v>2.65</v>
      </c>
      <c r="G109" s="29">
        <v>40888</v>
      </c>
      <c r="H109" s="20">
        <f t="shared" si="1"/>
        <v>291</v>
      </c>
    </row>
    <row r="110" spans="1:8" ht="14.25" customHeight="1" x14ac:dyDescent="0.3">
      <c r="A110" s="13">
        <v>45635</v>
      </c>
      <c r="B110" s="5" t="s">
        <v>30</v>
      </c>
      <c r="C110" s="23">
        <v>1494</v>
      </c>
      <c r="D110" s="23">
        <v>375</v>
      </c>
      <c r="E110" s="23">
        <v>220616</v>
      </c>
      <c r="F110" s="97">
        <v>1.81</v>
      </c>
      <c r="G110" s="29">
        <v>22724</v>
      </c>
      <c r="H110" s="20">
        <f t="shared" si="1"/>
        <v>1119</v>
      </c>
    </row>
    <row r="111" spans="1:8" ht="14.25" customHeight="1" x14ac:dyDescent="0.3">
      <c r="A111" s="13">
        <v>45635</v>
      </c>
      <c r="B111" s="5" t="s">
        <v>38</v>
      </c>
      <c r="C111" s="23">
        <v>1514</v>
      </c>
      <c r="D111" s="23">
        <v>141</v>
      </c>
      <c r="E111" s="23">
        <v>35842</v>
      </c>
      <c r="F111" s="97">
        <v>7.47</v>
      </c>
      <c r="G111" s="29">
        <v>18601</v>
      </c>
      <c r="H111" s="20">
        <f t="shared" si="1"/>
        <v>1373</v>
      </c>
    </row>
    <row r="112" spans="1:8" ht="14.25" customHeight="1" x14ac:dyDescent="0.3">
      <c r="A112" s="13">
        <v>45635</v>
      </c>
      <c r="B112" s="5" t="s">
        <v>14</v>
      </c>
      <c r="C112" s="23">
        <v>1937</v>
      </c>
      <c r="D112" s="23">
        <v>210</v>
      </c>
      <c r="E112" s="23">
        <v>20607</v>
      </c>
      <c r="F112" s="97">
        <v>4.2</v>
      </c>
      <c r="G112" s="29">
        <v>20861</v>
      </c>
      <c r="H112" s="20">
        <f t="shared" si="1"/>
        <v>1727</v>
      </c>
    </row>
    <row r="113" spans="1:8" ht="14.25" customHeight="1" x14ac:dyDescent="0.3">
      <c r="A113" s="13">
        <v>45635</v>
      </c>
      <c r="B113" s="5" t="s">
        <v>25</v>
      </c>
      <c r="C113" s="23">
        <v>736</v>
      </c>
      <c r="D113" s="23">
        <v>163</v>
      </c>
      <c r="E113" s="23">
        <v>451894</v>
      </c>
      <c r="F113" s="97">
        <v>5.43</v>
      </c>
      <c r="G113" s="29">
        <v>46625</v>
      </c>
      <c r="H113" s="20">
        <f t="shared" si="1"/>
        <v>573</v>
      </c>
    </row>
    <row r="114" spans="1:8" ht="14.25" customHeight="1" x14ac:dyDescent="0.3">
      <c r="A114" s="13">
        <v>45642</v>
      </c>
      <c r="B114" s="5" t="s">
        <v>30</v>
      </c>
      <c r="C114" s="23">
        <v>1502</v>
      </c>
      <c r="D114" s="23">
        <v>70</v>
      </c>
      <c r="E114" s="23">
        <v>465553</v>
      </c>
      <c r="F114" s="97">
        <v>3.32</v>
      </c>
      <c r="G114" s="29">
        <v>20692</v>
      </c>
      <c r="H114" s="20">
        <f t="shared" si="1"/>
        <v>1432</v>
      </c>
    </row>
    <row r="115" spans="1:8" ht="14.25" customHeight="1" x14ac:dyDescent="0.3">
      <c r="A115" s="13">
        <v>45642</v>
      </c>
      <c r="B115" s="5" t="s">
        <v>38</v>
      </c>
      <c r="C115" s="23">
        <v>1623</v>
      </c>
      <c r="D115" s="23">
        <v>246</v>
      </c>
      <c r="E115" s="23">
        <v>415815</v>
      </c>
      <c r="F115" s="97">
        <v>8.11</v>
      </c>
      <c r="G115" s="29">
        <v>18656</v>
      </c>
      <c r="H115" s="20">
        <f t="shared" si="1"/>
        <v>1377</v>
      </c>
    </row>
    <row r="116" spans="1:8" ht="14.25" customHeight="1" x14ac:dyDescent="0.3">
      <c r="A116" s="13">
        <v>45642</v>
      </c>
      <c r="B116" s="5" t="s">
        <v>14</v>
      </c>
      <c r="C116" s="23">
        <v>1592</v>
      </c>
      <c r="D116" s="23">
        <v>233</v>
      </c>
      <c r="E116" s="23">
        <v>327183</v>
      </c>
      <c r="F116" s="97">
        <v>6.66</v>
      </c>
      <c r="G116" s="29">
        <v>13316</v>
      </c>
      <c r="H116" s="20">
        <f t="shared" si="1"/>
        <v>1359</v>
      </c>
    </row>
    <row r="117" spans="1:8" ht="14.25" customHeight="1" x14ac:dyDescent="0.3">
      <c r="A117" s="13">
        <v>45642</v>
      </c>
      <c r="B117" s="5" t="s">
        <v>25</v>
      </c>
      <c r="C117" s="23">
        <v>1004</v>
      </c>
      <c r="D117" s="23">
        <v>128</v>
      </c>
      <c r="E117" s="23">
        <v>488901</v>
      </c>
      <c r="F117" s="97">
        <v>8.09</v>
      </c>
      <c r="G117" s="29">
        <v>49558</v>
      </c>
      <c r="H117" s="20">
        <f t="shared" si="1"/>
        <v>876</v>
      </c>
    </row>
    <row r="118" spans="1:8" ht="14.25" customHeight="1" x14ac:dyDescent="0.3">
      <c r="A118" s="13">
        <v>45649</v>
      </c>
      <c r="B118" s="5" t="s">
        <v>30</v>
      </c>
      <c r="C118" s="23">
        <v>1092</v>
      </c>
      <c r="D118" s="23">
        <v>408</v>
      </c>
      <c r="E118" s="23">
        <v>280795</v>
      </c>
      <c r="F118" s="97">
        <v>8.44</v>
      </c>
      <c r="G118" s="29">
        <v>4683</v>
      </c>
      <c r="H118" s="20">
        <f t="shared" si="1"/>
        <v>684</v>
      </c>
    </row>
    <row r="119" spans="1:8" ht="14.25" customHeight="1" x14ac:dyDescent="0.3">
      <c r="A119" s="13">
        <v>45649</v>
      </c>
      <c r="B119" s="5" t="s">
        <v>38</v>
      </c>
      <c r="C119" s="23">
        <v>1155</v>
      </c>
      <c r="D119" s="23">
        <v>425</v>
      </c>
      <c r="E119" s="23">
        <v>93347</v>
      </c>
      <c r="F119" s="97">
        <v>2.02</v>
      </c>
      <c r="G119" s="29">
        <v>47502</v>
      </c>
      <c r="H119" s="20">
        <f t="shared" si="1"/>
        <v>730</v>
      </c>
    </row>
    <row r="120" spans="1:8" ht="14.25" customHeight="1" x14ac:dyDescent="0.3">
      <c r="A120" s="13">
        <v>45649</v>
      </c>
      <c r="B120" s="5" t="s">
        <v>14</v>
      </c>
      <c r="C120" s="23">
        <v>1137</v>
      </c>
      <c r="D120" s="23">
        <v>226</v>
      </c>
      <c r="E120" s="23">
        <v>81119</v>
      </c>
      <c r="F120" s="97">
        <v>7.74</v>
      </c>
      <c r="G120" s="29">
        <v>35359</v>
      </c>
      <c r="H120" s="20">
        <f t="shared" si="1"/>
        <v>911</v>
      </c>
    </row>
    <row r="121" spans="1:8" ht="14.25" customHeight="1" x14ac:dyDescent="0.3">
      <c r="A121" s="13">
        <v>45649</v>
      </c>
      <c r="B121" s="5" t="s">
        <v>25</v>
      </c>
      <c r="C121" s="23">
        <v>1900</v>
      </c>
      <c r="D121" s="23">
        <v>311</v>
      </c>
      <c r="E121" s="23">
        <v>25177</v>
      </c>
      <c r="F121" s="97">
        <v>2.89</v>
      </c>
      <c r="G121" s="29">
        <v>14154</v>
      </c>
      <c r="H121" s="20">
        <f t="shared" si="1"/>
        <v>1589</v>
      </c>
    </row>
    <row r="122" spans="1:8" ht="14.25" customHeight="1" x14ac:dyDescent="0.3">
      <c r="A122" s="13">
        <v>45656</v>
      </c>
      <c r="B122" s="5" t="s">
        <v>30</v>
      </c>
      <c r="C122" s="23">
        <v>1814</v>
      </c>
      <c r="D122" s="23">
        <v>49</v>
      </c>
      <c r="E122" s="23">
        <v>140804</v>
      </c>
      <c r="F122" s="97">
        <v>1.76</v>
      </c>
      <c r="G122" s="29">
        <v>4313</v>
      </c>
      <c r="H122" s="20">
        <f t="shared" si="1"/>
        <v>1765</v>
      </c>
    </row>
    <row r="123" spans="1:8" ht="14.25" customHeight="1" x14ac:dyDescent="0.3">
      <c r="A123" s="13">
        <v>45656</v>
      </c>
      <c r="B123" s="5" t="s">
        <v>38</v>
      </c>
      <c r="C123" s="23">
        <v>1980</v>
      </c>
      <c r="D123" s="23">
        <v>204</v>
      </c>
      <c r="E123" s="23">
        <v>379431</v>
      </c>
      <c r="F123" s="97">
        <v>3.09</v>
      </c>
      <c r="G123" s="29">
        <v>25140</v>
      </c>
      <c r="H123" s="20">
        <f t="shared" si="1"/>
        <v>1776</v>
      </c>
    </row>
    <row r="124" spans="1:8" ht="14.25" customHeight="1" x14ac:dyDescent="0.3">
      <c r="A124" s="13">
        <v>45656</v>
      </c>
      <c r="B124" s="5" t="s">
        <v>14</v>
      </c>
      <c r="C124" s="23">
        <v>1786</v>
      </c>
      <c r="D124" s="23">
        <v>257</v>
      </c>
      <c r="E124" s="23">
        <v>274831</v>
      </c>
      <c r="F124" s="97">
        <v>4.68</v>
      </c>
      <c r="G124" s="29">
        <v>9118</v>
      </c>
      <c r="H124" s="20">
        <f t="shared" si="1"/>
        <v>1529</v>
      </c>
    </row>
    <row r="125" spans="1:8" ht="14.25" customHeight="1" x14ac:dyDescent="0.3">
      <c r="A125" s="13">
        <v>45656</v>
      </c>
      <c r="B125" s="5" t="s">
        <v>25</v>
      </c>
      <c r="C125" s="23">
        <v>1495</v>
      </c>
      <c r="D125" s="23">
        <v>35</v>
      </c>
      <c r="E125" s="23">
        <v>136845</v>
      </c>
      <c r="F125" s="97">
        <v>4.4800000000000004</v>
      </c>
      <c r="G125" s="29">
        <v>39931</v>
      </c>
      <c r="H125" s="20">
        <f t="shared" si="1"/>
        <v>1460</v>
      </c>
    </row>
    <row r="126" spans="1:8" ht="14.25" customHeight="1" x14ac:dyDescent="0.3">
      <c r="A126" s="13">
        <v>45663</v>
      </c>
      <c r="B126" s="5" t="s">
        <v>30</v>
      </c>
      <c r="C126" s="23">
        <v>1013</v>
      </c>
      <c r="D126" s="23">
        <v>110</v>
      </c>
      <c r="E126" s="23">
        <v>466382</v>
      </c>
      <c r="F126" s="97">
        <v>5.3</v>
      </c>
      <c r="G126" s="29">
        <v>37132</v>
      </c>
      <c r="H126" s="20">
        <f t="shared" si="1"/>
        <v>903</v>
      </c>
    </row>
    <row r="127" spans="1:8" ht="14.25" customHeight="1" x14ac:dyDescent="0.3">
      <c r="A127" s="13">
        <v>45663</v>
      </c>
      <c r="B127" s="5" t="s">
        <v>38</v>
      </c>
      <c r="C127" s="23">
        <v>816</v>
      </c>
      <c r="D127" s="23">
        <v>196</v>
      </c>
      <c r="E127" s="23">
        <v>95728</v>
      </c>
      <c r="F127" s="97">
        <v>8.1999999999999993</v>
      </c>
      <c r="G127" s="29">
        <v>17951</v>
      </c>
      <c r="H127" s="20">
        <f t="shared" si="1"/>
        <v>620</v>
      </c>
    </row>
    <row r="128" spans="1:8" ht="14.25" customHeight="1" x14ac:dyDescent="0.3">
      <c r="A128" s="13">
        <v>45663</v>
      </c>
      <c r="B128" s="5" t="s">
        <v>14</v>
      </c>
      <c r="C128" s="23">
        <v>1633</v>
      </c>
      <c r="D128" s="23">
        <v>445</v>
      </c>
      <c r="E128" s="23">
        <v>371156</v>
      </c>
      <c r="F128" s="97">
        <v>2.2200000000000002</v>
      </c>
      <c r="G128" s="29">
        <v>2798</v>
      </c>
      <c r="H128" s="20">
        <f t="shared" si="1"/>
        <v>1188</v>
      </c>
    </row>
    <row r="129" spans="1:8" ht="14.25" customHeight="1" x14ac:dyDescent="0.3">
      <c r="A129" s="13">
        <v>45663</v>
      </c>
      <c r="B129" s="5" t="s">
        <v>25</v>
      </c>
      <c r="C129" s="23">
        <v>891</v>
      </c>
      <c r="D129" s="23">
        <v>45</v>
      </c>
      <c r="E129" s="23">
        <v>95410</v>
      </c>
      <c r="F129" s="97">
        <v>8.33</v>
      </c>
      <c r="G129" s="29">
        <v>15045</v>
      </c>
      <c r="H129" s="20">
        <f t="shared" si="1"/>
        <v>846</v>
      </c>
    </row>
    <row r="130" spans="1:8" ht="14.25" customHeight="1" x14ac:dyDescent="0.3">
      <c r="A130" s="13">
        <v>45670</v>
      </c>
      <c r="B130" s="5" t="s">
        <v>30</v>
      </c>
      <c r="C130" s="23">
        <v>1855</v>
      </c>
      <c r="D130" s="23">
        <v>133</v>
      </c>
      <c r="E130" s="23">
        <v>349413</v>
      </c>
      <c r="F130" s="97">
        <v>3.3</v>
      </c>
      <c r="G130" s="29">
        <v>14548</v>
      </c>
      <c r="H130" s="20">
        <f t="shared" si="1"/>
        <v>1722</v>
      </c>
    </row>
    <row r="131" spans="1:8" ht="14.25" customHeight="1" x14ac:dyDescent="0.3">
      <c r="A131" s="13">
        <v>45670</v>
      </c>
      <c r="B131" s="5" t="s">
        <v>38</v>
      </c>
      <c r="C131" s="23">
        <v>651</v>
      </c>
      <c r="D131" s="23">
        <v>353</v>
      </c>
      <c r="E131" s="23">
        <v>224699</v>
      </c>
      <c r="F131" s="97">
        <v>5.61</v>
      </c>
      <c r="G131" s="29">
        <v>45708</v>
      </c>
      <c r="H131" s="20">
        <f t="shared" ref="H131:H194" si="2">C131-D131</f>
        <v>298</v>
      </c>
    </row>
    <row r="132" spans="1:8" ht="14.25" customHeight="1" x14ac:dyDescent="0.3">
      <c r="A132" s="13">
        <v>45670</v>
      </c>
      <c r="B132" s="5" t="s">
        <v>14</v>
      </c>
      <c r="C132" s="23">
        <v>118</v>
      </c>
      <c r="D132" s="23">
        <v>262</v>
      </c>
      <c r="E132" s="23">
        <v>487896</v>
      </c>
      <c r="F132" s="97">
        <v>2.56</v>
      </c>
      <c r="G132" s="29">
        <v>12350</v>
      </c>
      <c r="H132" s="20">
        <f t="shared" si="2"/>
        <v>-144</v>
      </c>
    </row>
    <row r="133" spans="1:8" ht="14.25" customHeight="1" x14ac:dyDescent="0.3">
      <c r="A133" s="13">
        <v>45670</v>
      </c>
      <c r="B133" s="5" t="s">
        <v>25</v>
      </c>
      <c r="C133" s="23">
        <v>1331</v>
      </c>
      <c r="D133" s="23">
        <v>430</v>
      </c>
      <c r="E133" s="23">
        <v>14437</v>
      </c>
      <c r="F133" s="97">
        <v>3.29</v>
      </c>
      <c r="G133" s="29">
        <v>40868</v>
      </c>
      <c r="H133" s="20">
        <f t="shared" si="2"/>
        <v>901</v>
      </c>
    </row>
    <row r="134" spans="1:8" ht="14.25" customHeight="1" x14ac:dyDescent="0.3">
      <c r="A134" s="13">
        <v>45677</v>
      </c>
      <c r="B134" s="5" t="s">
        <v>30</v>
      </c>
      <c r="C134" s="23">
        <v>1748</v>
      </c>
      <c r="D134" s="23">
        <v>176</v>
      </c>
      <c r="E134" s="23">
        <v>383681</v>
      </c>
      <c r="F134" s="97">
        <v>9.24</v>
      </c>
      <c r="G134" s="29">
        <v>43122</v>
      </c>
      <c r="H134" s="20">
        <f t="shared" si="2"/>
        <v>1572</v>
      </c>
    </row>
    <row r="135" spans="1:8" ht="14.25" customHeight="1" x14ac:dyDescent="0.3">
      <c r="A135" s="13">
        <v>45677</v>
      </c>
      <c r="B135" s="5" t="s">
        <v>38</v>
      </c>
      <c r="C135" s="23">
        <v>663</v>
      </c>
      <c r="D135" s="23">
        <v>236</v>
      </c>
      <c r="E135" s="23">
        <v>479490</v>
      </c>
      <c r="F135" s="97">
        <v>4.51</v>
      </c>
      <c r="G135" s="29">
        <v>23853</v>
      </c>
      <c r="H135" s="20">
        <f t="shared" si="2"/>
        <v>427</v>
      </c>
    </row>
    <row r="136" spans="1:8" ht="14.25" customHeight="1" x14ac:dyDescent="0.3">
      <c r="A136" s="13">
        <v>45677</v>
      </c>
      <c r="B136" s="5" t="s">
        <v>14</v>
      </c>
      <c r="C136" s="23">
        <v>1040</v>
      </c>
      <c r="D136" s="23">
        <v>149</v>
      </c>
      <c r="E136" s="23">
        <v>124404</v>
      </c>
      <c r="F136" s="97">
        <v>5.23</v>
      </c>
      <c r="G136" s="29">
        <v>45380</v>
      </c>
      <c r="H136" s="20">
        <f t="shared" si="2"/>
        <v>891</v>
      </c>
    </row>
    <row r="137" spans="1:8" ht="14.25" customHeight="1" x14ac:dyDescent="0.3">
      <c r="A137" s="13">
        <v>45677</v>
      </c>
      <c r="B137" s="5" t="s">
        <v>25</v>
      </c>
      <c r="C137" s="23">
        <v>1166</v>
      </c>
      <c r="D137" s="23">
        <v>442</v>
      </c>
      <c r="E137" s="23">
        <v>336949</v>
      </c>
      <c r="F137" s="97">
        <v>4.68</v>
      </c>
      <c r="G137" s="29">
        <v>7705</v>
      </c>
      <c r="H137" s="20">
        <f t="shared" si="2"/>
        <v>724</v>
      </c>
    </row>
    <row r="138" spans="1:8" ht="14.25" customHeight="1" x14ac:dyDescent="0.3">
      <c r="A138" s="13">
        <v>45684</v>
      </c>
      <c r="B138" s="5" t="s">
        <v>30</v>
      </c>
      <c r="C138" s="23">
        <v>115</v>
      </c>
      <c r="D138" s="23">
        <v>281</v>
      </c>
      <c r="E138" s="23">
        <v>357265</v>
      </c>
      <c r="F138" s="97">
        <v>9.23</v>
      </c>
      <c r="G138" s="29">
        <v>25525</v>
      </c>
      <c r="H138" s="20">
        <f t="shared" si="2"/>
        <v>-166</v>
      </c>
    </row>
    <row r="139" spans="1:8" ht="14.25" customHeight="1" x14ac:dyDescent="0.3">
      <c r="A139" s="13">
        <v>45684</v>
      </c>
      <c r="B139" s="5" t="s">
        <v>38</v>
      </c>
      <c r="C139" s="23">
        <v>1249</v>
      </c>
      <c r="D139" s="23">
        <v>351</v>
      </c>
      <c r="E139" s="23">
        <v>321307</v>
      </c>
      <c r="F139" s="97">
        <v>6.37</v>
      </c>
      <c r="G139" s="29">
        <v>20560</v>
      </c>
      <c r="H139" s="20">
        <f t="shared" si="2"/>
        <v>898</v>
      </c>
    </row>
    <row r="140" spans="1:8" ht="14.25" customHeight="1" x14ac:dyDescent="0.3">
      <c r="A140" s="13">
        <v>45684</v>
      </c>
      <c r="B140" s="5" t="s">
        <v>14</v>
      </c>
      <c r="C140" s="23">
        <v>1501</v>
      </c>
      <c r="D140" s="23">
        <v>75</v>
      </c>
      <c r="E140" s="23">
        <v>262569</v>
      </c>
      <c r="F140" s="97">
        <v>2.0099999999999998</v>
      </c>
      <c r="G140" s="29">
        <v>19119</v>
      </c>
      <c r="H140" s="20">
        <f t="shared" si="2"/>
        <v>1426</v>
      </c>
    </row>
    <row r="141" spans="1:8" ht="14.25" customHeight="1" x14ac:dyDescent="0.3">
      <c r="A141" s="13">
        <v>45684</v>
      </c>
      <c r="B141" s="5" t="s">
        <v>25</v>
      </c>
      <c r="C141" s="23">
        <v>1411</v>
      </c>
      <c r="D141" s="23">
        <v>186</v>
      </c>
      <c r="E141" s="23">
        <v>461669</v>
      </c>
      <c r="F141" s="97">
        <v>3.72</v>
      </c>
      <c r="G141" s="29">
        <v>43999</v>
      </c>
      <c r="H141" s="20">
        <f t="shared" si="2"/>
        <v>1225</v>
      </c>
    </row>
    <row r="142" spans="1:8" ht="14.25" customHeight="1" x14ac:dyDescent="0.3">
      <c r="A142" s="13">
        <v>45691</v>
      </c>
      <c r="B142" s="5" t="s">
        <v>30</v>
      </c>
      <c r="C142" s="23">
        <v>1556</v>
      </c>
      <c r="D142" s="23">
        <v>476</v>
      </c>
      <c r="E142" s="23">
        <v>351556</v>
      </c>
      <c r="F142" s="97">
        <v>3.89</v>
      </c>
      <c r="G142" s="29">
        <v>10825</v>
      </c>
      <c r="H142" s="20">
        <f t="shared" si="2"/>
        <v>1080</v>
      </c>
    </row>
    <row r="143" spans="1:8" ht="14.25" customHeight="1" x14ac:dyDescent="0.3">
      <c r="A143" s="13">
        <v>45691</v>
      </c>
      <c r="B143" s="5" t="s">
        <v>38</v>
      </c>
      <c r="C143" s="23">
        <v>1159</v>
      </c>
      <c r="D143" s="23">
        <v>411</v>
      </c>
      <c r="E143" s="23">
        <v>135987</v>
      </c>
      <c r="F143" s="97">
        <v>8.6999999999999993</v>
      </c>
      <c r="G143" s="29">
        <v>40323</v>
      </c>
      <c r="H143" s="20">
        <f t="shared" si="2"/>
        <v>748</v>
      </c>
    </row>
    <row r="144" spans="1:8" ht="14.25" customHeight="1" x14ac:dyDescent="0.3">
      <c r="A144" s="13">
        <v>45691</v>
      </c>
      <c r="B144" s="5" t="s">
        <v>14</v>
      </c>
      <c r="C144" s="23">
        <v>927</v>
      </c>
      <c r="D144" s="23">
        <v>358</v>
      </c>
      <c r="E144" s="23">
        <v>177554</v>
      </c>
      <c r="F144" s="97">
        <v>6.95</v>
      </c>
      <c r="G144" s="29">
        <v>48270</v>
      </c>
      <c r="H144" s="20">
        <f t="shared" si="2"/>
        <v>569</v>
      </c>
    </row>
    <row r="145" spans="1:8" ht="14.25" customHeight="1" x14ac:dyDescent="0.3">
      <c r="A145" s="13">
        <v>45691</v>
      </c>
      <c r="B145" s="5" t="s">
        <v>25</v>
      </c>
      <c r="C145" s="23">
        <v>152</v>
      </c>
      <c r="D145" s="23">
        <v>355</v>
      </c>
      <c r="E145" s="23">
        <v>270766</v>
      </c>
      <c r="F145" s="97">
        <v>9.48</v>
      </c>
      <c r="G145" s="29">
        <v>18001</v>
      </c>
      <c r="H145" s="20">
        <f t="shared" si="2"/>
        <v>-203</v>
      </c>
    </row>
    <row r="146" spans="1:8" ht="14.25" customHeight="1" x14ac:dyDescent="0.3">
      <c r="A146" s="13">
        <v>45698</v>
      </c>
      <c r="B146" s="5" t="s">
        <v>30</v>
      </c>
      <c r="C146" s="23">
        <v>1957</v>
      </c>
      <c r="D146" s="23">
        <v>234</v>
      </c>
      <c r="E146" s="23">
        <v>222126</v>
      </c>
      <c r="F146" s="97">
        <v>4.6100000000000003</v>
      </c>
      <c r="G146" s="29">
        <v>3314</v>
      </c>
      <c r="H146" s="20">
        <f t="shared" si="2"/>
        <v>1723</v>
      </c>
    </row>
    <row r="147" spans="1:8" ht="14.25" customHeight="1" x14ac:dyDescent="0.3">
      <c r="A147" s="13">
        <v>45698</v>
      </c>
      <c r="B147" s="5" t="s">
        <v>38</v>
      </c>
      <c r="C147" s="23">
        <v>1294</v>
      </c>
      <c r="D147" s="23">
        <v>382</v>
      </c>
      <c r="E147" s="23">
        <v>309914</v>
      </c>
      <c r="F147" s="97">
        <v>8.0299999999999994</v>
      </c>
      <c r="G147" s="29">
        <v>23489</v>
      </c>
      <c r="H147" s="20">
        <f t="shared" si="2"/>
        <v>912</v>
      </c>
    </row>
    <row r="148" spans="1:8" ht="14.25" customHeight="1" x14ac:dyDescent="0.3">
      <c r="A148" s="13">
        <v>45698</v>
      </c>
      <c r="B148" s="5" t="s">
        <v>14</v>
      </c>
      <c r="C148" s="23">
        <v>1587</v>
      </c>
      <c r="D148" s="23">
        <v>385</v>
      </c>
      <c r="E148" s="23">
        <v>126582</v>
      </c>
      <c r="F148" s="97">
        <v>6.99</v>
      </c>
      <c r="G148" s="29">
        <v>42832</v>
      </c>
      <c r="H148" s="20">
        <f t="shared" si="2"/>
        <v>1202</v>
      </c>
    </row>
    <row r="149" spans="1:8" ht="14.25" customHeight="1" x14ac:dyDescent="0.3">
      <c r="A149" s="13">
        <v>45698</v>
      </c>
      <c r="B149" s="5" t="s">
        <v>25</v>
      </c>
      <c r="C149" s="23">
        <v>1707</v>
      </c>
      <c r="D149" s="23">
        <v>263</v>
      </c>
      <c r="E149" s="23">
        <v>485280</v>
      </c>
      <c r="F149" s="97">
        <v>9.0299999999999994</v>
      </c>
      <c r="G149" s="29">
        <v>24494</v>
      </c>
      <c r="H149" s="20">
        <f t="shared" si="2"/>
        <v>1444</v>
      </c>
    </row>
    <row r="150" spans="1:8" ht="14.25" customHeight="1" x14ac:dyDescent="0.3">
      <c r="A150" s="13">
        <v>45705</v>
      </c>
      <c r="B150" s="5" t="s">
        <v>30</v>
      </c>
      <c r="C150" s="23">
        <v>1138</v>
      </c>
      <c r="D150" s="23">
        <v>173</v>
      </c>
      <c r="E150" s="23">
        <v>453243</v>
      </c>
      <c r="F150" s="97">
        <v>2.86</v>
      </c>
      <c r="G150" s="29">
        <v>44097</v>
      </c>
      <c r="H150" s="20">
        <f t="shared" si="2"/>
        <v>965</v>
      </c>
    </row>
    <row r="151" spans="1:8" ht="14.25" customHeight="1" x14ac:dyDescent="0.3">
      <c r="A151" s="13">
        <v>45705</v>
      </c>
      <c r="B151" s="5" t="s">
        <v>38</v>
      </c>
      <c r="C151" s="23">
        <v>1895</v>
      </c>
      <c r="D151" s="23">
        <v>305</v>
      </c>
      <c r="E151" s="23">
        <v>104967</v>
      </c>
      <c r="F151" s="97">
        <v>3.85</v>
      </c>
      <c r="G151" s="29">
        <v>31853</v>
      </c>
      <c r="H151" s="20">
        <f t="shared" si="2"/>
        <v>1590</v>
      </c>
    </row>
    <row r="152" spans="1:8" ht="14.25" customHeight="1" x14ac:dyDescent="0.3">
      <c r="A152" s="13">
        <v>45705</v>
      </c>
      <c r="B152" s="5" t="s">
        <v>14</v>
      </c>
      <c r="C152" s="23">
        <v>362</v>
      </c>
      <c r="D152" s="23">
        <v>399</v>
      </c>
      <c r="E152" s="23">
        <v>145608</v>
      </c>
      <c r="F152" s="97">
        <v>7.3</v>
      </c>
      <c r="G152" s="29">
        <v>37636</v>
      </c>
      <c r="H152" s="20">
        <f t="shared" si="2"/>
        <v>-37</v>
      </c>
    </row>
    <row r="153" spans="1:8" ht="14.25" customHeight="1" x14ac:dyDescent="0.3">
      <c r="A153" s="13">
        <v>45705</v>
      </c>
      <c r="B153" s="5" t="s">
        <v>25</v>
      </c>
      <c r="C153" s="23">
        <v>1662</v>
      </c>
      <c r="D153" s="23">
        <v>487</v>
      </c>
      <c r="E153" s="23">
        <v>105980</v>
      </c>
      <c r="F153" s="97">
        <v>9.08</v>
      </c>
      <c r="G153" s="29">
        <v>22996</v>
      </c>
      <c r="H153" s="20">
        <f t="shared" si="2"/>
        <v>1175</v>
      </c>
    </row>
    <row r="154" spans="1:8" ht="14.25" customHeight="1" x14ac:dyDescent="0.3">
      <c r="A154" s="13">
        <v>45712</v>
      </c>
      <c r="B154" s="5" t="s">
        <v>30</v>
      </c>
      <c r="C154" s="23">
        <v>1440</v>
      </c>
      <c r="D154" s="23">
        <v>65</v>
      </c>
      <c r="E154" s="23">
        <v>126524</v>
      </c>
      <c r="F154" s="97">
        <v>4.34</v>
      </c>
      <c r="G154" s="29">
        <v>49772</v>
      </c>
      <c r="H154" s="20">
        <f t="shared" si="2"/>
        <v>1375</v>
      </c>
    </row>
    <row r="155" spans="1:8" ht="14.25" customHeight="1" x14ac:dyDescent="0.3">
      <c r="A155" s="13">
        <v>45712</v>
      </c>
      <c r="B155" s="5" t="s">
        <v>38</v>
      </c>
      <c r="C155" s="23">
        <v>1884</v>
      </c>
      <c r="D155" s="23">
        <v>177</v>
      </c>
      <c r="E155" s="23">
        <v>230448</v>
      </c>
      <c r="F155" s="97">
        <v>7.8</v>
      </c>
      <c r="G155" s="29">
        <v>22713</v>
      </c>
      <c r="H155" s="20">
        <f t="shared" si="2"/>
        <v>1707</v>
      </c>
    </row>
    <row r="156" spans="1:8" ht="14.25" customHeight="1" x14ac:dyDescent="0.3">
      <c r="A156" s="13">
        <v>45712</v>
      </c>
      <c r="B156" s="5" t="s">
        <v>14</v>
      </c>
      <c r="C156" s="23">
        <v>861</v>
      </c>
      <c r="D156" s="23">
        <v>153</v>
      </c>
      <c r="E156" s="23">
        <v>317007</v>
      </c>
      <c r="F156" s="97">
        <v>3.85</v>
      </c>
      <c r="G156" s="29">
        <v>8718</v>
      </c>
      <c r="H156" s="20">
        <f t="shared" si="2"/>
        <v>708</v>
      </c>
    </row>
    <row r="157" spans="1:8" ht="14.25" customHeight="1" x14ac:dyDescent="0.3">
      <c r="A157" s="13">
        <v>45712</v>
      </c>
      <c r="B157" s="5" t="s">
        <v>25</v>
      </c>
      <c r="C157" s="23">
        <v>1063</v>
      </c>
      <c r="D157" s="23">
        <v>47</v>
      </c>
      <c r="E157" s="23">
        <v>464239</v>
      </c>
      <c r="F157" s="97">
        <v>6.58</v>
      </c>
      <c r="G157" s="29">
        <v>39031</v>
      </c>
      <c r="H157" s="20">
        <f t="shared" si="2"/>
        <v>1016</v>
      </c>
    </row>
    <row r="158" spans="1:8" ht="14.25" customHeight="1" x14ac:dyDescent="0.3">
      <c r="A158" s="13">
        <v>45719</v>
      </c>
      <c r="B158" s="5" t="s">
        <v>30</v>
      </c>
      <c r="C158" s="23">
        <v>1371</v>
      </c>
      <c r="D158" s="23">
        <v>56</v>
      </c>
      <c r="E158" s="23">
        <v>257579</v>
      </c>
      <c r="F158" s="97">
        <v>8.6199999999999992</v>
      </c>
      <c r="G158" s="29">
        <v>33799</v>
      </c>
      <c r="H158" s="20">
        <f t="shared" si="2"/>
        <v>1315</v>
      </c>
    </row>
    <row r="159" spans="1:8" ht="14.25" customHeight="1" x14ac:dyDescent="0.3">
      <c r="A159" s="13">
        <v>45719</v>
      </c>
      <c r="B159" s="5" t="s">
        <v>38</v>
      </c>
      <c r="C159" s="23">
        <v>345</v>
      </c>
      <c r="D159" s="23">
        <v>464</v>
      </c>
      <c r="E159" s="23">
        <v>366881</v>
      </c>
      <c r="F159" s="97">
        <v>4.55</v>
      </c>
      <c r="G159" s="29">
        <v>20553</v>
      </c>
      <c r="H159" s="20">
        <f t="shared" si="2"/>
        <v>-119</v>
      </c>
    </row>
    <row r="160" spans="1:8" ht="14.25" customHeight="1" x14ac:dyDescent="0.3">
      <c r="A160" s="13">
        <v>45719</v>
      </c>
      <c r="B160" s="5" t="s">
        <v>14</v>
      </c>
      <c r="C160" s="23">
        <v>946</v>
      </c>
      <c r="D160" s="23">
        <v>47</v>
      </c>
      <c r="E160" s="23">
        <v>466575</v>
      </c>
      <c r="F160" s="97">
        <v>8.33</v>
      </c>
      <c r="G160" s="29">
        <v>10002</v>
      </c>
      <c r="H160" s="20">
        <f t="shared" si="2"/>
        <v>899</v>
      </c>
    </row>
    <row r="161" spans="1:8" ht="14.25" customHeight="1" x14ac:dyDescent="0.3">
      <c r="A161" s="13">
        <v>45719</v>
      </c>
      <c r="B161" s="5" t="s">
        <v>25</v>
      </c>
      <c r="C161" s="23">
        <v>510</v>
      </c>
      <c r="D161" s="23">
        <v>195</v>
      </c>
      <c r="E161" s="23">
        <v>224534</v>
      </c>
      <c r="F161" s="97">
        <v>9.4</v>
      </c>
      <c r="G161" s="29">
        <v>30987</v>
      </c>
      <c r="H161" s="20">
        <f t="shared" si="2"/>
        <v>315</v>
      </c>
    </row>
    <row r="162" spans="1:8" ht="14.25" customHeight="1" x14ac:dyDescent="0.3">
      <c r="A162" s="13">
        <v>45726</v>
      </c>
      <c r="B162" s="5" t="s">
        <v>30</v>
      </c>
      <c r="C162" s="23">
        <v>393</v>
      </c>
      <c r="D162" s="23">
        <v>181</v>
      </c>
      <c r="E162" s="23">
        <v>462142</v>
      </c>
      <c r="F162" s="97">
        <v>7.23</v>
      </c>
      <c r="G162" s="29">
        <v>6296</v>
      </c>
      <c r="H162" s="20">
        <f t="shared" si="2"/>
        <v>212</v>
      </c>
    </row>
    <row r="163" spans="1:8" ht="14.25" customHeight="1" x14ac:dyDescent="0.3">
      <c r="A163" s="13">
        <v>45726</v>
      </c>
      <c r="B163" s="5" t="s">
        <v>38</v>
      </c>
      <c r="C163" s="23">
        <v>1098</v>
      </c>
      <c r="D163" s="23">
        <v>190</v>
      </c>
      <c r="E163" s="23">
        <v>340842</v>
      </c>
      <c r="F163" s="97">
        <v>9.39</v>
      </c>
      <c r="G163" s="29">
        <v>21539</v>
      </c>
      <c r="H163" s="20">
        <f t="shared" si="2"/>
        <v>908</v>
      </c>
    </row>
    <row r="164" spans="1:8" ht="14.25" customHeight="1" x14ac:dyDescent="0.3">
      <c r="A164" s="13">
        <v>45726</v>
      </c>
      <c r="B164" s="5" t="s">
        <v>14</v>
      </c>
      <c r="C164" s="23">
        <v>1399</v>
      </c>
      <c r="D164" s="23">
        <v>49</v>
      </c>
      <c r="E164" s="23">
        <v>12471</v>
      </c>
      <c r="F164" s="97">
        <v>5.12</v>
      </c>
      <c r="G164" s="29">
        <v>14722</v>
      </c>
      <c r="H164" s="20">
        <f t="shared" si="2"/>
        <v>1350</v>
      </c>
    </row>
    <row r="165" spans="1:8" ht="14.25" customHeight="1" x14ac:dyDescent="0.3">
      <c r="A165" s="13">
        <v>45726</v>
      </c>
      <c r="B165" s="5" t="s">
        <v>25</v>
      </c>
      <c r="C165" s="23">
        <v>1658</v>
      </c>
      <c r="D165" s="23">
        <v>416</v>
      </c>
      <c r="E165" s="23">
        <v>98397</v>
      </c>
      <c r="F165" s="97">
        <v>6.11</v>
      </c>
      <c r="G165" s="29">
        <v>11383</v>
      </c>
      <c r="H165" s="20">
        <f t="shared" si="2"/>
        <v>1242</v>
      </c>
    </row>
    <row r="166" spans="1:8" ht="14.25" customHeight="1" x14ac:dyDescent="0.3">
      <c r="A166" s="13">
        <v>45733</v>
      </c>
      <c r="B166" s="5" t="s">
        <v>30</v>
      </c>
      <c r="C166" s="23">
        <v>1102</v>
      </c>
      <c r="D166" s="23">
        <v>422</v>
      </c>
      <c r="E166" s="23">
        <v>410330</v>
      </c>
      <c r="F166" s="97">
        <v>7.74</v>
      </c>
      <c r="G166" s="29">
        <v>9480</v>
      </c>
      <c r="H166" s="20">
        <f t="shared" si="2"/>
        <v>680</v>
      </c>
    </row>
    <row r="167" spans="1:8" ht="14.25" customHeight="1" x14ac:dyDescent="0.3">
      <c r="A167" s="13">
        <v>45733</v>
      </c>
      <c r="B167" s="5" t="s">
        <v>38</v>
      </c>
      <c r="C167" s="23">
        <v>1358</v>
      </c>
      <c r="D167" s="23">
        <v>242</v>
      </c>
      <c r="E167" s="23">
        <v>342129</v>
      </c>
      <c r="F167" s="97">
        <v>4.9400000000000004</v>
      </c>
      <c r="G167" s="29">
        <v>29116</v>
      </c>
      <c r="H167" s="20">
        <f t="shared" si="2"/>
        <v>1116</v>
      </c>
    </row>
    <row r="168" spans="1:8" ht="14.25" customHeight="1" x14ac:dyDescent="0.3">
      <c r="A168" s="13">
        <v>45733</v>
      </c>
      <c r="B168" s="5" t="s">
        <v>14</v>
      </c>
      <c r="C168" s="23">
        <v>1077</v>
      </c>
      <c r="D168" s="23">
        <v>216</v>
      </c>
      <c r="E168" s="23">
        <v>12447</v>
      </c>
      <c r="F168" s="97">
        <v>1.8</v>
      </c>
      <c r="G168" s="29">
        <v>14068</v>
      </c>
      <c r="H168" s="20">
        <f t="shared" si="2"/>
        <v>861</v>
      </c>
    </row>
    <row r="169" spans="1:8" ht="14.25" customHeight="1" x14ac:dyDescent="0.3">
      <c r="A169" s="13">
        <v>45733</v>
      </c>
      <c r="B169" s="5" t="s">
        <v>25</v>
      </c>
      <c r="C169" s="23">
        <v>1596</v>
      </c>
      <c r="D169" s="23">
        <v>211</v>
      </c>
      <c r="E169" s="23">
        <v>17380</v>
      </c>
      <c r="F169" s="97">
        <v>8.64</v>
      </c>
      <c r="G169" s="29">
        <v>35801</v>
      </c>
      <c r="H169" s="20">
        <f t="shared" si="2"/>
        <v>1385</v>
      </c>
    </row>
    <row r="170" spans="1:8" ht="14.25" customHeight="1" x14ac:dyDescent="0.3">
      <c r="A170" s="13">
        <v>45740</v>
      </c>
      <c r="B170" s="5" t="s">
        <v>30</v>
      </c>
      <c r="C170" s="23">
        <v>490</v>
      </c>
      <c r="D170" s="23">
        <v>29</v>
      </c>
      <c r="E170" s="23">
        <v>364810</v>
      </c>
      <c r="F170" s="97">
        <v>1.53</v>
      </c>
      <c r="G170" s="29">
        <v>49077</v>
      </c>
      <c r="H170" s="20">
        <f t="shared" si="2"/>
        <v>461</v>
      </c>
    </row>
    <row r="171" spans="1:8" ht="14.25" customHeight="1" x14ac:dyDescent="0.3">
      <c r="A171" s="13">
        <v>45740</v>
      </c>
      <c r="B171" s="5" t="s">
        <v>38</v>
      </c>
      <c r="C171" s="23">
        <v>609</v>
      </c>
      <c r="D171" s="23">
        <v>135</v>
      </c>
      <c r="E171" s="23">
        <v>373606</v>
      </c>
      <c r="F171" s="97">
        <v>8.52</v>
      </c>
      <c r="G171" s="29">
        <v>21453</v>
      </c>
      <c r="H171" s="20">
        <f t="shared" si="2"/>
        <v>474</v>
      </c>
    </row>
    <row r="172" spans="1:8" ht="14.25" customHeight="1" x14ac:dyDescent="0.3">
      <c r="A172" s="13">
        <v>45740</v>
      </c>
      <c r="B172" s="5" t="s">
        <v>14</v>
      </c>
      <c r="C172" s="23">
        <v>364</v>
      </c>
      <c r="D172" s="23">
        <v>72</v>
      </c>
      <c r="E172" s="23">
        <v>211090</v>
      </c>
      <c r="F172" s="97">
        <v>5.53</v>
      </c>
      <c r="G172" s="29">
        <v>21061</v>
      </c>
      <c r="H172" s="20">
        <f t="shared" si="2"/>
        <v>292</v>
      </c>
    </row>
    <row r="173" spans="1:8" ht="14.25" customHeight="1" x14ac:dyDescent="0.3">
      <c r="A173" s="13">
        <v>45740</v>
      </c>
      <c r="B173" s="5" t="s">
        <v>25</v>
      </c>
      <c r="C173" s="23">
        <v>442</v>
      </c>
      <c r="D173" s="23">
        <v>53</v>
      </c>
      <c r="E173" s="23">
        <v>441931</v>
      </c>
      <c r="F173" s="97">
        <v>1.87</v>
      </c>
      <c r="G173" s="29">
        <v>20059</v>
      </c>
      <c r="H173" s="20">
        <f t="shared" si="2"/>
        <v>389</v>
      </c>
    </row>
    <row r="174" spans="1:8" ht="14.25" customHeight="1" x14ac:dyDescent="0.3">
      <c r="A174" s="13">
        <v>45747</v>
      </c>
      <c r="B174" s="5" t="s">
        <v>30</v>
      </c>
      <c r="C174" s="23">
        <v>1033</v>
      </c>
      <c r="D174" s="23">
        <v>392</v>
      </c>
      <c r="E174" s="23">
        <v>282780</v>
      </c>
      <c r="F174" s="97">
        <v>6.27</v>
      </c>
      <c r="G174" s="29">
        <v>23140</v>
      </c>
      <c r="H174" s="20">
        <f t="shared" si="2"/>
        <v>641</v>
      </c>
    </row>
    <row r="175" spans="1:8" ht="14.25" customHeight="1" x14ac:dyDescent="0.3">
      <c r="A175" s="13">
        <v>45747</v>
      </c>
      <c r="B175" s="5" t="s">
        <v>38</v>
      </c>
      <c r="C175" s="23">
        <v>988</v>
      </c>
      <c r="D175" s="23">
        <v>474</v>
      </c>
      <c r="E175" s="23">
        <v>370070</v>
      </c>
      <c r="F175" s="97">
        <v>9.4600000000000009</v>
      </c>
      <c r="G175" s="29">
        <v>23461</v>
      </c>
      <c r="H175" s="20">
        <f t="shared" si="2"/>
        <v>514</v>
      </c>
    </row>
    <row r="176" spans="1:8" ht="14.25" customHeight="1" x14ac:dyDescent="0.3">
      <c r="A176" s="13">
        <v>45747</v>
      </c>
      <c r="B176" s="5" t="s">
        <v>14</v>
      </c>
      <c r="C176" s="23">
        <v>1946</v>
      </c>
      <c r="D176" s="23">
        <v>270</v>
      </c>
      <c r="E176" s="23">
        <v>198350</v>
      </c>
      <c r="F176" s="97">
        <v>7.5</v>
      </c>
      <c r="G176" s="29">
        <v>11805</v>
      </c>
      <c r="H176" s="20">
        <f t="shared" si="2"/>
        <v>1676</v>
      </c>
    </row>
    <row r="177" spans="1:8" ht="14.25" customHeight="1" x14ac:dyDescent="0.3">
      <c r="A177" s="13">
        <v>45747</v>
      </c>
      <c r="B177" s="5" t="s">
        <v>25</v>
      </c>
      <c r="C177" s="23">
        <v>1957</v>
      </c>
      <c r="D177" s="23">
        <v>490</v>
      </c>
      <c r="E177" s="23">
        <v>435726</v>
      </c>
      <c r="F177" s="97">
        <v>4.7300000000000004</v>
      </c>
      <c r="G177" s="29">
        <v>15969</v>
      </c>
      <c r="H177" s="20">
        <f t="shared" si="2"/>
        <v>1467</v>
      </c>
    </row>
    <row r="178" spans="1:8" ht="14.25" customHeight="1" x14ac:dyDescent="0.3">
      <c r="A178" s="13">
        <v>45754</v>
      </c>
      <c r="B178" s="5" t="s">
        <v>30</v>
      </c>
      <c r="C178" s="23">
        <v>559</v>
      </c>
      <c r="D178" s="23">
        <v>392</v>
      </c>
      <c r="E178" s="23">
        <v>78789</v>
      </c>
      <c r="F178" s="97">
        <v>3.19</v>
      </c>
      <c r="G178" s="29">
        <v>2436</v>
      </c>
      <c r="H178" s="20">
        <f t="shared" si="2"/>
        <v>167</v>
      </c>
    </row>
    <row r="179" spans="1:8" ht="14.25" customHeight="1" x14ac:dyDescent="0.3">
      <c r="A179" s="13">
        <v>45754</v>
      </c>
      <c r="B179" s="5" t="s">
        <v>38</v>
      </c>
      <c r="C179" s="23">
        <v>1307</v>
      </c>
      <c r="D179" s="23">
        <v>278</v>
      </c>
      <c r="E179" s="23">
        <v>98596</v>
      </c>
      <c r="F179" s="97">
        <v>2.4900000000000002</v>
      </c>
      <c r="G179" s="29">
        <v>47603</v>
      </c>
      <c r="H179" s="20">
        <f t="shared" si="2"/>
        <v>1029</v>
      </c>
    </row>
    <row r="180" spans="1:8" ht="14.25" customHeight="1" x14ac:dyDescent="0.3">
      <c r="A180" s="13">
        <v>45754</v>
      </c>
      <c r="B180" s="5" t="s">
        <v>14</v>
      </c>
      <c r="C180" s="23">
        <v>1432</v>
      </c>
      <c r="D180" s="23">
        <v>425</v>
      </c>
      <c r="E180" s="23">
        <v>29589</v>
      </c>
      <c r="F180" s="97">
        <v>4.5</v>
      </c>
      <c r="G180" s="29">
        <v>42964</v>
      </c>
      <c r="H180" s="20">
        <f t="shared" si="2"/>
        <v>1007</v>
      </c>
    </row>
    <row r="181" spans="1:8" ht="14.25" customHeight="1" x14ac:dyDescent="0.3">
      <c r="A181" s="13">
        <v>45754</v>
      </c>
      <c r="B181" s="5" t="s">
        <v>25</v>
      </c>
      <c r="C181" s="23">
        <v>623</v>
      </c>
      <c r="D181" s="23">
        <v>414</v>
      </c>
      <c r="E181" s="23">
        <v>290354</v>
      </c>
      <c r="F181" s="97">
        <v>6.49</v>
      </c>
      <c r="G181" s="29">
        <v>39923</v>
      </c>
      <c r="H181" s="20">
        <f t="shared" si="2"/>
        <v>209</v>
      </c>
    </row>
    <row r="182" spans="1:8" ht="14.25" customHeight="1" x14ac:dyDescent="0.3">
      <c r="A182" s="13">
        <v>45761</v>
      </c>
      <c r="B182" s="5" t="s">
        <v>30</v>
      </c>
      <c r="C182" s="23">
        <v>198</v>
      </c>
      <c r="D182" s="23">
        <v>358</v>
      </c>
      <c r="E182" s="23">
        <v>66682</v>
      </c>
      <c r="F182" s="97">
        <v>6.73</v>
      </c>
      <c r="G182" s="29">
        <v>2293</v>
      </c>
      <c r="H182" s="20">
        <f t="shared" si="2"/>
        <v>-160</v>
      </c>
    </row>
    <row r="183" spans="1:8" ht="14.25" customHeight="1" x14ac:dyDescent="0.3">
      <c r="A183" s="13">
        <v>45761</v>
      </c>
      <c r="B183" s="5" t="s">
        <v>38</v>
      </c>
      <c r="C183" s="23">
        <v>198</v>
      </c>
      <c r="D183" s="23">
        <v>373</v>
      </c>
      <c r="E183" s="23">
        <v>70707</v>
      </c>
      <c r="F183" s="97">
        <v>4.83</v>
      </c>
      <c r="G183" s="29">
        <v>25920</v>
      </c>
      <c r="H183" s="20">
        <f t="shared" si="2"/>
        <v>-175</v>
      </c>
    </row>
    <row r="184" spans="1:8" ht="14.25" customHeight="1" x14ac:dyDescent="0.3">
      <c r="A184" s="13">
        <v>45761</v>
      </c>
      <c r="B184" s="5" t="s">
        <v>14</v>
      </c>
      <c r="C184" s="23">
        <v>353</v>
      </c>
      <c r="D184" s="23">
        <v>300</v>
      </c>
      <c r="E184" s="23">
        <v>142507</v>
      </c>
      <c r="F184" s="97">
        <v>5.3</v>
      </c>
      <c r="G184" s="29">
        <v>11035</v>
      </c>
      <c r="H184" s="20">
        <f t="shared" si="2"/>
        <v>53</v>
      </c>
    </row>
    <row r="185" spans="1:8" ht="14.25" customHeight="1" x14ac:dyDescent="0.3">
      <c r="A185" s="13">
        <v>45761</v>
      </c>
      <c r="B185" s="5" t="s">
        <v>25</v>
      </c>
      <c r="C185" s="23">
        <v>520</v>
      </c>
      <c r="D185" s="23">
        <v>375</v>
      </c>
      <c r="E185" s="23">
        <v>369525</v>
      </c>
      <c r="F185" s="97">
        <v>6.54</v>
      </c>
      <c r="G185" s="29">
        <v>20733</v>
      </c>
      <c r="H185" s="20">
        <f t="shared" si="2"/>
        <v>145</v>
      </c>
    </row>
    <row r="186" spans="1:8" ht="14.25" customHeight="1" x14ac:dyDescent="0.3">
      <c r="A186" s="13">
        <v>45768</v>
      </c>
      <c r="B186" s="5" t="s">
        <v>30</v>
      </c>
      <c r="C186" s="23">
        <v>961</v>
      </c>
      <c r="D186" s="23">
        <v>358</v>
      </c>
      <c r="E186" s="23">
        <v>62942</v>
      </c>
      <c r="F186" s="97">
        <v>6.8</v>
      </c>
      <c r="G186" s="29">
        <v>18693</v>
      </c>
      <c r="H186" s="20">
        <f t="shared" si="2"/>
        <v>603</v>
      </c>
    </row>
    <row r="187" spans="1:8" ht="14.25" customHeight="1" x14ac:dyDescent="0.3">
      <c r="A187" s="13">
        <v>45768</v>
      </c>
      <c r="B187" s="5" t="s">
        <v>38</v>
      </c>
      <c r="C187" s="23">
        <v>1375</v>
      </c>
      <c r="D187" s="23">
        <v>330</v>
      </c>
      <c r="E187" s="23">
        <v>377382</v>
      </c>
      <c r="F187" s="97">
        <v>2.6</v>
      </c>
      <c r="G187" s="29">
        <v>7875</v>
      </c>
      <c r="H187" s="20">
        <f t="shared" si="2"/>
        <v>1045</v>
      </c>
    </row>
    <row r="188" spans="1:8" ht="14.25" customHeight="1" x14ac:dyDescent="0.3">
      <c r="A188" s="13">
        <v>45768</v>
      </c>
      <c r="B188" s="5" t="s">
        <v>14</v>
      </c>
      <c r="C188" s="23">
        <v>1147</v>
      </c>
      <c r="D188" s="23">
        <v>388</v>
      </c>
      <c r="E188" s="23">
        <v>333851</v>
      </c>
      <c r="F188" s="97">
        <v>2.44</v>
      </c>
      <c r="G188" s="29">
        <v>8471</v>
      </c>
      <c r="H188" s="20">
        <f t="shared" si="2"/>
        <v>759</v>
      </c>
    </row>
    <row r="189" spans="1:8" ht="14.25" customHeight="1" x14ac:dyDescent="0.3">
      <c r="A189" s="13">
        <v>45768</v>
      </c>
      <c r="B189" s="5" t="s">
        <v>25</v>
      </c>
      <c r="C189" s="23">
        <v>1707</v>
      </c>
      <c r="D189" s="23">
        <v>74</v>
      </c>
      <c r="E189" s="23">
        <v>270958</v>
      </c>
      <c r="F189" s="97">
        <v>3.09</v>
      </c>
      <c r="G189" s="29">
        <v>14090</v>
      </c>
      <c r="H189" s="20">
        <f t="shared" si="2"/>
        <v>1633</v>
      </c>
    </row>
    <row r="190" spans="1:8" ht="14.25" customHeight="1" x14ac:dyDescent="0.3">
      <c r="A190" s="13">
        <v>45775</v>
      </c>
      <c r="B190" s="5" t="s">
        <v>30</v>
      </c>
      <c r="C190" s="23">
        <v>1693</v>
      </c>
      <c r="D190" s="23">
        <v>154</v>
      </c>
      <c r="E190" s="23">
        <v>445944</v>
      </c>
      <c r="F190" s="97">
        <v>5.69</v>
      </c>
      <c r="G190" s="29">
        <v>14216</v>
      </c>
      <c r="H190" s="20">
        <f t="shared" si="2"/>
        <v>1539</v>
      </c>
    </row>
    <row r="191" spans="1:8" ht="14.25" customHeight="1" x14ac:dyDescent="0.3">
      <c r="A191" s="13">
        <v>45775</v>
      </c>
      <c r="B191" s="5" t="s">
        <v>38</v>
      </c>
      <c r="C191" s="23">
        <v>833</v>
      </c>
      <c r="D191" s="23">
        <v>380</v>
      </c>
      <c r="E191" s="23">
        <v>224830</v>
      </c>
      <c r="F191" s="97">
        <v>3.86</v>
      </c>
      <c r="G191" s="29">
        <v>3582</v>
      </c>
      <c r="H191" s="20">
        <f t="shared" si="2"/>
        <v>453</v>
      </c>
    </row>
    <row r="192" spans="1:8" ht="14.25" customHeight="1" x14ac:dyDescent="0.3">
      <c r="A192" s="13">
        <v>45775</v>
      </c>
      <c r="B192" s="5" t="s">
        <v>14</v>
      </c>
      <c r="C192" s="23">
        <v>1222</v>
      </c>
      <c r="D192" s="23">
        <v>274</v>
      </c>
      <c r="E192" s="23">
        <v>487289</v>
      </c>
      <c r="F192" s="97">
        <v>3.16</v>
      </c>
      <c r="G192" s="29">
        <v>32500</v>
      </c>
      <c r="H192" s="20">
        <f t="shared" si="2"/>
        <v>948</v>
      </c>
    </row>
    <row r="193" spans="1:8" ht="14.25" customHeight="1" x14ac:dyDescent="0.3">
      <c r="A193" s="13">
        <v>45775</v>
      </c>
      <c r="B193" s="5" t="s">
        <v>25</v>
      </c>
      <c r="C193" s="23">
        <v>777</v>
      </c>
      <c r="D193" s="23">
        <v>140</v>
      </c>
      <c r="E193" s="23">
        <v>11435</v>
      </c>
      <c r="F193" s="97">
        <v>1.6</v>
      </c>
      <c r="G193" s="29">
        <v>6832</v>
      </c>
      <c r="H193" s="20">
        <f t="shared" si="2"/>
        <v>637</v>
      </c>
    </row>
    <row r="194" spans="1:8" ht="14.25" customHeight="1" x14ac:dyDescent="0.3">
      <c r="A194" s="13">
        <v>45782</v>
      </c>
      <c r="B194" s="5" t="s">
        <v>30</v>
      </c>
      <c r="C194" s="23">
        <v>1957</v>
      </c>
      <c r="D194" s="23">
        <v>76</v>
      </c>
      <c r="E194" s="23">
        <v>447902</v>
      </c>
      <c r="F194" s="97">
        <v>6.09</v>
      </c>
      <c r="G194" s="29">
        <v>33381</v>
      </c>
      <c r="H194" s="20">
        <f t="shared" si="2"/>
        <v>1881</v>
      </c>
    </row>
    <row r="195" spans="1:8" ht="14.25" customHeight="1" x14ac:dyDescent="0.3">
      <c r="A195" s="13">
        <v>45782</v>
      </c>
      <c r="B195" s="5" t="s">
        <v>38</v>
      </c>
      <c r="C195" s="23">
        <v>405</v>
      </c>
      <c r="D195" s="23">
        <v>66</v>
      </c>
      <c r="E195" s="23">
        <v>418696</v>
      </c>
      <c r="F195" s="97">
        <v>5.59</v>
      </c>
      <c r="G195" s="29">
        <v>48419</v>
      </c>
      <c r="H195" s="20">
        <f t="shared" ref="H195:H201" si="3">C195-D195</f>
        <v>339</v>
      </c>
    </row>
    <row r="196" spans="1:8" ht="14.25" customHeight="1" x14ac:dyDescent="0.3">
      <c r="A196" s="13">
        <v>45782</v>
      </c>
      <c r="B196" s="5" t="s">
        <v>14</v>
      </c>
      <c r="C196" s="23">
        <v>1581</v>
      </c>
      <c r="D196" s="23">
        <v>71</v>
      </c>
      <c r="E196" s="23">
        <v>484364</v>
      </c>
      <c r="F196" s="97">
        <v>3.55</v>
      </c>
      <c r="G196" s="29">
        <v>16149</v>
      </c>
      <c r="H196" s="20">
        <f t="shared" si="3"/>
        <v>1510</v>
      </c>
    </row>
    <row r="197" spans="1:8" ht="14.25" customHeight="1" x14ac:dyDescent="0.3">
      <c r="A197" s="13">
        <v>45782</v>
      </c>
      <c r="B197" s="5" t="s">
        <v>25</v>
      </c>
      <c r="C197" s="23">
        <v>1035</v>
      </c>
      <c r="D197" s="23">
        <v>171</v>
      </c>
      <c r="E197" s="23">
        <v>148477</v>
      </c>
      <c r="F197" s="97">
        <v>5.21</v>
      </c>
      <c r="G197" s="29">
        <v>7541</v>
      </c>
      <c r="H197" s="20">
        <f t="shared" si="3"/>
        <v>864</v>
      </c>
    </row>
    <row r="198" spans="1:8" ht="14.25" customHeight="1" x14ac:dyDescent="0.3">
      <c r="A198" s="13">
        <v>45789</v>
      </c>
      <c r="B198" s="5" t="s">
        <v>30</v>
      </c>
      <c r="C198" s="23">
        <v>1765</v>
      </c>
      <c r="D198" s="23">
        <v>109</v>
      </c>
      <c r="E198" s="23">
        <v>468301</v>
      </c>
      <c r="F198" s="97">
        <v>1.82</v>
      </c>
      <c r="G198" s="29">
        <v>20042</v>
      </c>
      <c r="H198" s="20">
        <f t="shared" si="3"/>
        <v>1656</v>
      </c>
    </row>
    <row r="199" spans="1:8" ht="14.25" customHeight="1" x14ac:dyDescent="0.3">
      <c r="A199" s="13">
        <v>45789</v>
      </c>
      <c r="B199" s="5" t="s">
        <v>38</v>
      </c>
      <c r="C199" s="23">
        <v>837</v>
      </c>
      <c r="D199" s="23">
        <v>430</v>
      </c>
      <c r="E199" s="23">
        <v>364820</v>
      </c>
      <c r="F199" s="97">
        <v>4</v>
      </c>
      <c r="G199" s="29">
        <v>49400</v>
      </c>
      <c r="H199" s="20">
        <f t="shared" si="3"/>
        <v>407</v>
      </c>
    </row>
    <row r="200" spans="1:8" ht="14.25" customHeight="1" x14ac:dyDescent="0.3">
      <c r="A200" s="13">
        <v>45789</v>
      </c>
      <c r="B200" s="5" t="s">
        <v>14</v>
      </c>
      <c r="C200" s="23">
        <v>337</v>
      </c>
      <c r="D200" s="23">
        <v>68</v>
      </c>
      <c r="E200" s="23">
        <v>456298</v>
      </c>
      <c r="F200" s="97">
        <v>7.57</v>
      </c>
      <c r="G200" s="29">
        <v>4007</v>
      </c>
      <c r="H200" s="20">
        <f t="shared" si="3"/>
        <v>269</v>
      </c>
    </row>
    <row r="201" spans="1:8" ht="14.25" customHeight="1" x14ac:dyDescent="0.3">
      <c r="A201" s="13">
        <v>45789</v>
      </c>
      <c r="B201" s="5" t="s">
        <v>25</v>
      </c>
      <c r="C201" s="23">
        <v>119</v>
      </c>
      <c r="D201" s="23">
        <v>456</v>
      </c>
      <c r="E201" s="23">
        <v>82558</v>
      </c>
      <c r="F201" s="97">
        <v>6.81</v>
      </c>
      <c r="G201" s="29">
        <v>12174</v>
      </c>
      <c r="H201" s="20">
        <f t="shared" si="3"/>
        <v>-337</v>
      </c>
    </row>
    <row r="202" spans="1:8" ht="14.25" customHeight="1" x14ac:dyDescent="0.3"/>
    <row r="203" spans="1:8" ht="14.25" customHeight="1" x14ac:dyDescent="0.3"/>
    <row r="204" spans="1:8" ht="14.25" customHeight="1" x14ac:dyDescent="0.3"/>
    <row r="205" spans="1:8" ht="14.25" customHeight="1" x14ac:dyDescent="0.3"/>
    <row r="206" spans="1:8" ht="14.25" customHeight="1" x14ac:dyDescent="0.3"/>
    <row r="207" spans="1:8" ht="14.25" customHeight="1" x14ac:dyDescent="0.3"/>
    <row r="208" spans="1: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H201" xr:uid="{00000000-0001-0000-0100-000000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workbookViewId="0">
      <selection activeCell="C1" sqref="C1"/>
    </sheetView>
  </sheetViews>
  <sheetFormatPr defaultColWidth="14.44140625" defaultRowHeight="15" customHeight="1" x14ac:dyDescent="0.3"/>
  <cols>
    <col min="1" max="1" width="17.6640625" customWidth="1"/>
    <col min="2" max="3" width="17.6640625" style="11" customWidth="1"/>
    <col min="4" max="4" width="17.6640625" customWidth="1"/>
    <col min="5" max="5" width="17.6640625" style="27" customWidth="1"/>
    <col min="6" max="6" width="17.6640625" customWidth="1"/>
    <col min="7" max="8" width="38.5546875" customWidth="1"/>
    <col min="9" max="9" width="17.6640625" customWidth="1"/>
    <col min="10" max="11" width="19.88671875" bestFit="1" customWidth="1"/>
    <col min="12" max="13" width="17.6640625" customWidth="1"/>
    <col min="14" max="14" width="9.33203125" customWidth="1"/>
    <col min="15" max="23" width="17.6640625" customWidth="1"/>
  </cols>
  <sheetData>
    <row r="1" spans="1:16" s="38" customFormat="1" ht="14.25" customHeight="1" x14ac:dyDescent="0.3">
      <c r="A1" s="105" t="s">
        <v>12</v>
      </c>
      <c r="B1" s="104" t="s">
        <v>375</v>
      </c>
      <c r="C1" s="106" t="s">
        <v>376</v>
      </c>
      <c r="D1" s="105" t="s">
        <v>377</v>
      </c>
      <c r="E1" s="107" t="s">
        <v>378</v>
      </c>
      <c r="F1" s="105" t="s">
        <v>379</v>
      </c>
      <c r="G1" s="103" t="s">
        <v>380</v>
      </c>
      <c r="H1" s="106" t="s">
        <v>394</v>
      </c>
      <c r="I1" s="105" t="s">
        <v>395</v>
      </c>
      <c r="J1" s="98" t="s">
        <v>459</v>
      </c>
      <c r="K1" s="98" t="s">
        <v>460</v>
      </c>
      <c r="L1" s="98" t="s">
        <v>461</v>
      </c>
      <c r="M1" s="98" t="s">
        <v>426</v>
      </c>
      <c r="N1" s="98" t="s">
        <v>467</v>
      </c>
      <c r="O1" s="98" t="s">
        <v>494</v>
      </c>
      <c r="P1" s="98" t="s">
        <v>495</v>
      </c>
    </row>
    <row r="2" spans="1:16" ht="14.25" customHeight="1" x14ac:dyDescent="0.3">
      <c r="A2" s="6" t="s">
        <v>18</v>
      </c>
      <c r="B2" s="14">
        <v>45458</v>
      </c>
      <c r="C2" s="14">
        <v>45488</v>
      </c>
      <c r="D2" s="6" t="s">
        <v>381</v>
      </c>
      <c r="E2" s="25">
        <v>150000</v>
      </c>
      <c r="F2" s="6" t="s">
        <v>382</v>
      </c>
      <c r="G2" s="7" t="s">
        <v>36</v>
      </c>
      <c r="H2" s="14" t="s">
        <v>33</v>
      </c>
      <c r="I2" s="6" t="s">
        <v>27</v>
      </c>
      <c r="J2">
        <f>AVERAGEIFS(Posts!$R$2:$R$301,Posts!$Q$2:$Q$301,'Campaign Metadata'!$A2,Posts!$C$2:$C$301, "&lt;" &amp; 'Campaign Metadata'!$B2)</f>
        <v>0.18256403002695071</v>
      </c>
      <c r="K2">
        <f>AVERAGEIFS(Posts!$R$2:$R$301,Posts!$Q$2:$Q$301,'Campaign Metadata'!$A2,Posts!$C$2:$C$301, "&gt;=" &amp; 'Campaign Metadata'!$B2, Posts!$C$2:$C$301,"&lt;="&amp;'Campaign Metadata'!$C2)</f>
        <v>7.7296913158705363E-2</v>
      </c>
      <c r="L2">
        <f>((K2-J2)/J2)*100</f>
        <v>-57.660381868599998</v>
      </c>
      <c r="M2">
        <f ca="1">SUMIF(Table1!$A$2:$A$9,'Campaign Metadata'!$A2,Table1!$K$2:$K$8)</f>
        <v>95356</v>
      </c>
      <c r="N2" s="121">
        <f ca="1">M2/E2</f>
        <v>0.63570666666666664</v>
      </c>
      <c r="O2" s="20">
        <f>SUMIFS('Engagement Summary'!$H$2:$H$201,'Engagement Summary'!$A$2:$A$201,"&gt;=" &amp; 'Campaign Metadata'!$B2,'Engagement Summary'!$A$2:$A$201,"&lt;=" &amp; 'Campaign Metadata'!$C2)</f>
        <v>13523</v>
      </c>
      <c r="P2" s="20">
        <f>O2/((C2-B2+1)/7)</f>
        <v>3053.5806451612902</v>
      </c>
    </row>
    <row r="3" spans="1:16" ht="14.25" customHeight="1" x14ac:dyDescent="0.3">
      <c r="A3" s="6" t="s">
        <v>23</v>
      </c>
      <c r="B3" s="14">
        <v>45566</v>
      </c>
      <c r="C3" s="14">
        <v>45596</v>
      </c>
      <c r="D3" s="6" t="s">
        <v>383</v>
      </c>
      <c r="E3" s="25">
        <v>200000</v>
      </c>
      <c r="F3" s="6" t="s">
        <v>384</v>
      </c>
      <c r="G3" s="7" t="s">
        <v>385</v>
      </c>
      <c r="H3" s="14" t="s">
        <v>392</v>
      </c>
      <c r="I3" s="6"/>
      <c r="J3">
        <f>AVERAGEIFS(Posts!$R$2:$R$301,Posts!$Q$2:$Q$301,'Campaign Metadata'!$A3,Posts!$C$2:$C$301, "&lt;" &amp; 'Campaign Metadata'!$B3)</f>
        <v>0.12623971500174036</v>
      </c>
      <c r="K3">
        <f>AVERAGEIFS(Posts!$R$2:$R$301,Posts!$Q$2:$Q$301,'Campaign Metadata'!$A3,Posts!$C$2:$C$301, "&gt;=" &amp; 'Campaign Metadata'!$B3, Posts!$C$2:$C$301,"&lt;="&amp;'Campaign Metadata'!$C3)</f>
        <v>0.15063544700706727</v>
      </c>
      <c r="L3">
        <f t="shared" ref="L3:L5" si="0">((K3-J3)/J3)*100</f>
        <v>19.324926394986385</v>
      </c>
      <c r="M3">
        <f ca="1">SUMIF(Table1!$A$2:$A$9,'Campaign Metadata'!$A3,Table1!$K$2:$K$8)</f>
        <v>112836</v>
      </c>
      <c r="N3" s="121">
        <f t="shared" ref="N3:N5" ca="1" si="1">M3/E3</f>
        <v>0.56418000000000001</v>
      </c>
      <c r="O3" s="20">
        <f>SUMIFS('Engagement Summary'!$H$2:$H$201,'Engagement Summary'!$A$2:$A$201,"&gt;=" &amp; 'Campaign Metadata'!$B3,'Engagement Summary'!$A$2:$A$201,"&lt;=" &amp; 'Campaign Metadata'!$C3)</f>
        <v>11092</v>
      </c>
      <c r="P3" s="20">
        <f t="shared" ref="P3:P5" si="2">O3/((C3-B3+1)/7)</f>
        <v>2504.6451612903224</v>
      </c>
    </row>
    <row r="4" spans="1:16" ht="14.25" customHeight="1" x14ac:dyDescent="0.3">
      <c r="A4" s="6" t="s">
        <v>28</v>
      </c>
      <c r="B4" s="14">
        <v>45651</v>
      </c>
      <c r="C4" s="14">
        <v>45667</v>
      </c>
      <c r="D4" s="6" t="s">
        <v>386</v>
      </c>
      <c r="E4" s="25">
        <v>250000</v>
      </c>
      <c r="F4" s="6" t="s">
        <v>387</v>
      </c>
      <c r="G4" s="7" t="s">
        <v>388</v>
      </c>
      <c r="H4" s="14" t="s">
        <v>388</v>
      </c>
      <c r="I4" s="6"/>
      <c r="J4">
        <f>AVERAGEIFS(Posts!$R$2:$R$301,Posts!$Q$2:$Q$301,'Campaign Metadata'!$A4,Posts!$C$2:$C$301, "&lt;" &amp; 'Campaign Metadata'!$B4)</f>
        <v>0.1474176006033876</v>
      </c>
      <c r="K4">
        <f>AVERAGEIFS(Posts!$R$2:$R$301,Posts!$Q$2:$Q$301,'Campaign Metadata'!$A4,Posts!$C$2:$C$301, "&gt;=" &amp; 'Campaign Metadata'!$B4, Posts!$C$2:$C$301,"&lt;="&amp;'Campaign Metadata'!$C4)</f>
        <v>0.2061036280141991</v>
      </c>
      <c r="L4">
        <f t="shared" si="0"/>
        <v>39.809376336751285</v>
      </c>
      <c r="M4">
        <f ca="1">SUMIF(Table1!$A$2:$A$9,'Campaign Metadata'!$A4,Table1!$K$2:$K$8)</f>
        <v>136746</v>
      </c>
      <c r="N4" s="121">
        <f t="shared" ca="1" si="1"/>
        <v>0.54698400000000003</v>
      </c>
      <c r="O4" s="20">
        <f>SUMIFS('Engagement Summary'!$H$2:$H$201,'Engagement Summary'!$A$2:$A$201,"&gt;=" &amp; 'Campaign Metadata'!$B4,'Engagement Summary'!$A$2:$A$201,"&lt;=" &amp; 'Campaign Metadata'!$C4)</f>
        <v>10087</v>
      </c>
      <c r="P4" s="20">
        <f t="shared" si="2"/>
        <v>4153.4705882352946</v>
      </c>
    </row>
    <row r="5" spans="1:16" ht="14.25" customHeight="1" x14ac:dyDescent="0.3">
      <c r="A5" s="6" t="s">
        <v>34</v>
      </c>
      <c r="B5" s="14">
        <v>45717</v>
      </c>
      <c r="C5" s="14">
        <v>45747</v>
      </c>
      <c r="D5" s="6" t="s">
        <v>389</v>
      </c>
      <c r="E5" s="25">
        <v>180000</v>
      </c>
      <c r="F5" s="6" t="s">
        <v>390</v>
      </c>
      <c r="G5" s="7" t="s">
        <v>391</v>
      </c>
      <c r="H5" s="14" t="s">
        <v>393</v>
      </c>
      <c r="I5" s="6" t="s">
        <v>51</v>
      </c>
      <c r="J5">
        <f>AVERAGEIFS(Posts!$R$2:$R$301,Posts!$Q$2:$Q$301,'Campaign Metadata'!$A5,Posts!$C$2:$C$301, "&lt;" &amp; 'Campaign Metadata'!$B5)</f>
        <v>0.1375371426130354</v>
      </c>
      <c r="K5">
        <f>AVERAGEIFS(Posts!$R$2:$R$301,Posts!$Q$2:$Q$301,'Campaign Metadata'!$A5,Posts!$C$2:$C$301, "&gt;=" &amp; 'Campaign Metadata'!$B5, Posts!$C$2:$C$301,"&lt;="&amp;'Campaign Metadata'!$C5)</f>
        <v>0.1121014056861131</v>
      </c>
      <c r="L5">
        <f t="shared" si="0"/>
        <v>-18.493722091120112</v>
      </c>
      <c r="M5">
        <f ca="1">SUMIF(Table1!$A$2:$A$9,'Campaign Metadata'!$A5,Table1!$K$2:$K$8)</f>
        <v>129604</v>
      </c>
      <c r="N5" s="121">
        <f t="shared" ca="1" si="1"/>
        <v>0.72002222222222223</v>
      </c>
      <c r="O5" s="20">
        <f>SUMIFS('Engagement Summary'!$H$2:$H$201,'Engagement Summary'!$A$2:$A$201,"&gt;=" &amp; 'Campaign Metadata'!$B5,'Engagement Summary'!$A$2:$A$201,"&lt;=" &amp; 'Campaign Metadata'!$C5)</f>
        <v>16078</v>
      </c>
      <c r="P5" s="20">
        <f t="shared" si="2"/>
        <v>3630.516129032258</v>
      </c>
    </row>
    <row r="6" spans="1:16" ht="14.25" customHeight="1" x14ac:dyDescent="0.3">
      <c r="B6" s="15"/>
      <c r="E6" s="26"/>
      <c r="G6" s="8"/>
      <c r="H6" s="8"/>
    </row>
    <row r="7" spans="1:16" ht="14.25" customHeight="1" x14ac:dyDescent="0.3">
      <c r="B7" s="15"/>
      <c r="E7" s="26"/>
      <c r="G7" s="8"/>
      <c r="H7" s="8"/>
    </row>
    <row r="8" spans="1:16" ht="14.25" customHeight="1" x14ac:dyDescent="0.3">
      <c r="B8" s="15"/>
      <c r="E8" s="26"/>
      <c r="G8" s="8"/>
      <c r="H8" s="8"/>
    </row>
    <row r="9" spans="1:16" ht="14.25" customHeight="1" x14ac:dyDescent="0.3">
      <c r="B9" s="15"/>
      <c r="E9" s="26"/>
      <c r="G9" s="8"/>
      <c r="H9" s="8"/>
    </row>
    <row r="10" spans="1:16" ht="14.25" customHeight="1" x14ac:dyDescent="0.3">
      <c r="B10" s="15"/>
      <c r="E10" s="26"/>
      <c r="G10" s="8"/>
      <c r="H10" s="8"/>
    </row>
    <row r="11" spans="1:16" ht="14.25" customHeight="1" x14ac:dyDescent="0.3">
      <c r="B11" s="15"/>
      <c r="E11" s="26"/>
      <c r="G11" s="8"/>
      <c r="H11" s="8"/>
    </row>
    <row r="12" spans="1:16" ht="14.25" customHeight="1" x14ac:dyDescent="0.3">
      <c r="B12" s="15"/>
      <c r="E12" s="26"/>
      <c r="G12" s="8"/>
      <c r="H12" s="8"/>
    </row>
    <row r="13" spans="1:16" ht="14.25" customHeight="1" x14ac:dyDescent="0.3">
      <c r="B13" s="15"/>
      <c r="E13" s="26"/>
      <c r="G13" s="8"/>
      <c r="H13" s="8"/>
    </row>
    <row r="14" spans="1:16" ht="14.25" customHeight="1" x14ac:dyDescent="0.3">
      <c r="B14" s="15"/>
      <c r="E14" s="26"/>
      <c r="G14" s="8"/>
      <c r="H14" s="8"/>
    </row>
    <row r="15" spans="1:16" ht="14.25" customHeight="1" x14ac:dyDescent="0.3">
      <c r="B15" s="15"/>
      <c r="E15" s="26"/>
      <c r="G15" s="8"/>
      <c r="H15" s="8"/>
    </row>
    <row r="16" spans="1:16" ht="14.25" customHeight="1" x14ac:dyDescent="0.3">
      <c r="B16" s="15"/>
      <c r="E16" s="26"/>
      <c r="G16" s="8"/>
      <c r="H16" s="8"/>
    </row>
    <row r="17" spans="2:8" ht="14.25" customHeight="1" x14ac:dyDescent="0.3">
      <c r="B17" s="15"/>
      <c r="E17" s="26"/>
      <c r="G17" s="8"/>
      <c r="H17" s="8"/>
    </row>
    <row r="18" spans="2:8" ht="14.25" customHeight="1" x14ac:dyDescent="0.3">
      <c r="B18" s="15"/>
      <c r="E18" s="26"/>
      <c r="G18" s="8"/>
      <c r="H18" s="8"/>
    </row>
    <row r="19" spans="2:8" ht="14.25" customHeight="1" x14ac:dyDescent="0.3">
      <c r="B19" s="15"/>
      <c r="E19" s="26"/>
      <c r="G19" s="8"/>
      <c r="H19" s="8"/>
    </row>
    <row r="20" spans="2:8" ht="14.25" customHeight="1" x14ac:dyDescent="0.3">
      <c r="B20" s="15"/>
      <c r="E20" s="26"/>
      <c r="G20" s="8"/>
      <c r="H20" s="8"/>
    </row>
    <row r="21" spans="2:8" ht="14.25" customHeight="1" x14ac:dyDescent="0.3">
      <c r="B21" s="15"/>
      <c r="E21" s="26"/>
      <c r="G21" s="8"/>
      <c r="H21" s="8"/>
    </row>
    <row r="22" spans="2:8" ht="14.25" customHeight="1" x14ac:dyDescent="0.3">
      <c r="B22" s="15"/>
      <c r="E22" s="26"/>
      <c r="G22" s="8"/>
      <c r="H22" s="8"/>
    </row>
    <row r="23" spans="2:8" ht="14.25" customHeight="1" x14ac:dyDescent="0.3">
      <c r="B23" s="15"/>
      <c r="E23" s="26"/>
      <c r="G23" s="8"/>
      <c r="H23" s="8"/>
    </row>
    <row r="24" spans="2:8" ht="14.25" customHeight="1" x14ac:dyDescent="0.3">
      <c r="B24" s="15"/>
      <c r="E24" s="26"/>
      <c r="G24" s="8"/>
      <c r="H24" s="8"/>
    </row>
    <row r="25" spans="2:8" ht="14.25" customHeight="1" x14ac:dyDescent="0.3">
      <c r="B25" s="15"/>
      <c r="E25" s="26"/>
      <c r="G25" s="8"/>
      <c r="H25" s="8"/>
    </row>
    <row r="26" spans="2:8" ht="14.25" customHeight="1" x14ac:dyDescent="0.3">
      <c r="B26" s="15"/>
      <c r="E26" s="26"/>
      <c r="G26" s="8"/>
      <c r="H26" s="8"/>
    </row>
    <row r="27" spans="2:8" ht="14.25" customHeight="1" x14ac:dyDescent="0.3">
      <c r="B27" s="15"/>
      <c r="E27" s="26"/>
      <c r="G27" s="8"/>
      <c r="H27" s="8"/>
    </row>
    <row r="28" spans="2:8" ht="14.25" customHeight="1" x14ac:dyDescent="0.3">
      <c r="B28" s="15"/>
      <c r="E28" s="26"/>
      <c r="G28" s="8"/>
      <c r="H28" s="8"/>
    </row>
    <row r="29" spans="2:8" ht="14.25" customHeight="1" x14ac:dyDescent="0.3">
      <c r="B29" s="15"/>
      <c r="E29" s="26"/>
      <c r="G29" s="8"/>
      <c r="H29" s="8"/>
    </row>
    <row r="30" spans="2:8" ht="14.25" customHeight="1" x14ac:dyDescent="0.3">
      <c r="B30" s="15"/>
      <c r="E30" s="26"/>
      <c r="G30" s="8"/>
      <c r="H30" s="8"/>
    </row>
    <row r="31" spans="2:8" ht="14.25" customHeight="1" x14ac:dyDescent="0.3">
      <c r="B31" s="15"/>
      <c r="E31" s="26"/>
      <c r="G31" s="8"/>
      <c r="H31" s="8"/>
    </row>
    <row r="32" spans="2:8" ht="14.25" customHeight="1" x14ac:dyDescent="0.3">
      <c r="B32" s="15"/>
      <c r="E32" s="26"/>
      <c r="G32" s="8"/>
      <c r="H32" s="8"/>
    </row>
    <row r="33" spans="2:8" ht="14.25" customHeight="1" x14ac:dyDescent="0.3">
      <c r="B33" s="15"/>
      <c r="E33" s="26"/>
      <c r="G33" s="8"/>
      <c r="H33" s="8"/>
    </row>
    <row r="34" spans="2:8" ht="14.25" customHeight="1" x14ac:dyDescent="0.3">
      <c r="B34" s="15"/>
      <c r="E34" s="26"/>
      <c r="G34" s="8"/>
      <c r="H34" s="8"/>
    </row>
    <row r="35" spans="2:8" ht="14.25" customHeight="1" x14ac:dyDescent="0.3">
      <c r="B35" s="15"/>
      <c r="E35" s="26"/>
      <c r="G35" s="8"/>
      <c r="H35" s="8"/>
    </row>
    <row r="36" spans="2:8" ht="14.25" customHeight="1" x14ac:dyDescent="0.3">
      <c r="B36" s="15"/>
      <c r="E36" s="26"/>
      <c r="G36" s="8"/>
      <c r="H36" s="8"/>
    </row>
    <row r="37" spans="2:8" ht="14.25" customHeight="1" x14ac:dyDescent="0.3">
      <c r="B37" s="15"/>
      <c r="E37" s="26"/>
      <c r="G37" s="8"/>
      <c r="H37" s="8"/>
    </row>
    <row r="38" spans="2:8" ht="14.25" customHeight="1" x14ac:dyDescent="0.3">
      <c r="B38" s="15"/>
      <c r="E38" s="26"/>
      <c r="G38" s="8"/>
      <c r="H38" s="8"/>
    </row>
    <row r="39" spans="2:8" ht="14.25" customHeight="1" x14ac:dyDescent="0.3">
      <c r="B39" s="15"/>
      <c r="E39" s="26"/>
      <c r="G39" s="8"/>
      <c r="H39" s="8"/>
    </row>
    <row r="40" spans="2:8" ht="14.25" customHeight="1" x14ac:dyDescent="0.3">
      <c r="B40" s="15"/>
      <c r="E40" s="26"/>
      <c r="G40" s="8"/>
      <c r="H40" s="8"/>
    </row>
    <row r="41" spans="2:8" ht="14.25" customHeight="1" x14ac:dyDescent="0.3">
      <c r="B41" s="15"/>
      <c r="E41" s="26"/>
      <c r="G41" s="8"/>
      <c r="H41" s="8"/>
    </row>
    <row r="42" spans="2:8" ht="14.25" customHeight="1" x14ac:dyDescent="0.3">
      <c r="B42" s="15"/>
      <c r="E42" s="26"/>
      <c r="G42" s="8"/>
      <c r="H42" s="8"/>
    </row>
    <row r="43" spans="2:8" ht="14.25" customHeight="1" x14ac:dyDescent="0.3">
      <c r="B43" s="15"/>
      <c r="E43" s="26"/>
      <c r="G43" s="8"/>
      <c r="H43" s="8"/>
    </row>
    <row r="44" spans="2:8" ht="14.25" customHeight="1" x14ac:dyDescent="0.3">
      <c r="B44" s="15"/>
      <c r="E44" s="26"/>
      <c r="G44" s="8"/>
      <c r="H44" s="8"/>
    </row>
    <row r="45" spans="2:8" ht="14.25" customHeight="1" x14ac:dyDescent="0.3">
      <c r="B45" s="15"/>
      <c r="E45" s="26"/>
      <c r="G45" s="8"/>
      <c r="H45" s="8"/>
    </row>
    <row r="46" spans="2:8" ht="14.25" customHeight="1" x14ac:dyDescent="0.3">
      <c r="B46" s="15"/>
      <c r="E46" s="26"/>
      <c r="G46" s="8"/>
      <c r="H46" s="8"/>
    </row>
    <row r="47" spans="2:8" ht="14.25" customHeight="1" x14ac:dyDescent="0.3">
      <c r="B47" s="15"/>
      <c r="E47" s="26"/>
      <c r="G47" s="8"/>
      <c r="H47" s="8"/>
    </row>
    <row r="48" spans="2:8" ht="14.25" customHeight="1" x14ac:dyDescent="0.3">
      <c r="B48" s="15"/>
      <c r="E48" s="26"/>
      <c r="G48" s="8"/>
      <c r="H48" s="8"/>
    </row>
    <row r="49" spans="2:8" ht="14.25" customHeight="1" x14ac:dyDescent="0.3">
      <c r="B49" s="15"/>
      <c r="E49" s="26"/>
      <c r="G49" s="8"/>
      <c r="H49" s="8"/>
    </row>
    <row r="50" spans="2:8" ht="14.25" customHeight="1" x14ac:dyDescent="0.3">
      <c r="B50" s="15"/>
      <c r="E50" s="26"/>
      <c r="G50" s="8"/>
      <c r="H50" s="8"/>
    </row>
    <row r="51" spans="2:8" ht="14.25" customHeight="1" x14ac:dyDescent="0.3">
      <c r="B51" s="15"/>
      <c r="E51" s="26"/>
      <c r="G51" s="8"/>
      <c r="H51" s="8"/>
    </row>
    <row r="52" spans="2:8" ht="14.25" customHeight="1" x14ac:dyDescent="0.3">
      <c r="B52" s="15"/>
      <c r="E52" s="26"/>
      <c r="G52" s="8"/>
      <c r="H52" s="8"/>
    </row>
    <row r="53" spans="2:8" ht="14.25" customHeight="1" x14ac:dyDescent="0.3">
      <c r="B53" s="15"/>
      <c r="E53" s="26"/>
      <c r="G53" s="8"/>
      <c r="H53" s="8"/>
    </row>
    <row r="54" spans="2:8" ht="14.25" customHeight="1" x14ac:dyDescent="0.3">
      <c r="B54" s="15"/>
      <c r="E54" s="26"/>
      <c r="G54" s="8"/>
      <c r="H54" s="8"/>
    </row>
    <row r="55" spans="2:8" ht="14.25" customHeight="1" x14ac:dyDescent="0.3">
      <c r="B55" s="15"/>
      <c r="E55" s="26"/>
      <c r="G55" s="8"/>
      <c r="H55" s="8"/>
    </row>
    <row r="56" spans="2:8" ht="14.25" customHeight="1" x14ac:dyDescent="0.3">
      <c r="B56" s="15"/>
      <c r="E56" s="26"/>
      <c r="G56" s="8"/>
      <c r="H56" s="8"/>
    </row>
    <row r="57" spans="2:8" ht="14.25" customHeight="1" x14ac:dyDescent="0.3">
      <c r="B57" s="15"/>
      <c r="E57" s="26"/>
      <c r="G57" s="8"/>
      <c r="H57" s="8"/>
    </row>
    <row r="58" spans="2:8" ht="14.25" customHeight="1" x14ac:dyDescent="0.3">
      <c r="B58" s="15"/>
      <c r="E58" s="26"/>
      <c r="G58" s="8"/>
      <c r="H58" s="8"/>
    </row>
    <row r="59" spans="2:8" ht="14.25" customHeight="1" x14ac:dyDescent="0.3">
      <c r="B59" s="15"/>
      <c r="E59" s="26"/>
      <c r="G59" s="8"/>
      <c r="H59" s="8"/>
    </row>
    <row r="60" spans="2:8" ht="14.25" customHeight="1" x14ac:dyDescent="0.3">
      <c r="B60" s="15"/>
      <c r="E60" s="26"/>
      <c r="G60" s="8"/>
      <c r="H60" s="8"/>
    </row>
    <row r="61" spans="2:8" ht="14.25" customHeight="1" x14ac:dyDescent="0.3">
      <c r="B61" s="15"/>
      <c r="E61" s="26"/>
      <c r="G61" s="8"/>
      <c r="H61" s="8"/>
    </row>
    <row r="62" spans="2:8" ht="14.25" customHeight="1" x14ac:dyDescent="0.3">
      <c r="B62" s="15"/>
      <c r="E62" s="26"/>
      <c r="G62" s="8"/>
      <c r="H62" s="8"/>
    </row>
    <row r="63" spans="2:8" ht="14.25" customHeight="1" x14ac:dyDescent="0.3">
      <c r="B63" s="15"/>
      <c r="E63" s="26"/>
      <c r="G63" s="8"/>
      <c r="H63" s="8"/>
    </row>
    <row r="64" spans="2:8" ht="14.25" customHeight="1" x14ac:dyDescent="0.3">
      <c r="B64" s="15"/>
      <c r="E64" s="26"/>
      <c r="G64" s="8"/>
      <c r="H64" s="8"/>
    </row>
    <row r="65" spans="2:8" ht="14.25" customHeight="1" x14ac:dyDescent="0.3">
      <c r="B65" s="15"/>
      <c r="E65" s="26"/>
      <c r="G65" s="8"/>
      <c r="H65" s="8"/>
    </row>
    <row r="66" spans="2:8" ht="14.25" customHeight="1" x14ac:dyDescent="0.3">
      <c r="B66" s="15"/>
      <c r="E66" s="26"/>
      <c r="G66" s="8"/>
      <c r="H66" s="8"/>
    </row>
    <row r="67" spans="2:8" ht="14.25" customHeight="1" x14ac:dyDescent="0.3">
      <c r="B67" s="15"/>
      <c r="E67" s="26"/>
      <c r="G67" s="8"/>
      <c r="H67" s="8"/>
    </row>
    <row r="68" spans="2:8" ht="14.25" customHeight="1" x14ac:dyDescent="0.3">
      <c r="B68" s="15"/>
      <c r="E68" s="26"/>
      <c r="G68" s="8"/>
      <c r="H68" s="8"/>
    </row>
    <row r="69" spans="2:8" ht="14.25" customHeight="1" x14ac:dyDescent="0.3">
      <c r="B69" s="15"/>
      <c r="E69" s="26"/>
      <c r="G69" s="8"/>
      <c r="H69" s="8"/>
    </row>
    <row r="70" spans="2:8" ht="14.25" customHeight="1" x14ac:dyDescent="0.3">
      <c r="B70" s="15"/>
      <c r="E70" s="26"/>
      <c r="G70" s="8"/>
      <c r="H70" s="8"/>
    </row>
    <row r="71" spans="2:8" ht="14.25" customHeight="1" x14ac:dyDescent="0.3">
      <c r="B71" s="15"/>
      <c r="E71" s="26"/>
      <c r="G71" s="8"/>
      <c r="H71" s="8"/>
    </row>
    <row r="72" spans="2:8" ht="14.25" customHeight="1" x14ac:dyDescent="0.3">
      <c r="B72" s="15"/>
      <c r="E72" s="26"/>
      <c r="G72" s="8"/>
      <c r="H72" s="8"/>
    </row>
    <row r="73" spans="2:8" ht="14.25" customHeight="1" x14ac:dyDescent="0.3">
      <c r="B73" s="15"/>
      <c r="E73" s="26"/>
      <c r="G73" s="8"/>
      <c r="H73" s="8"/>
    </row>
    <row r="74" spans="2:8" ht="14.25" customHeight="1" x14ac:dyDescent="0.3">
      <c r="B74" s="15"/>
      <c r="E74" s="26"/>
      <c r="G74" s="8"/>
      <c r="H74" s="8"/>
    </row>
    <row r="75" spans="2:8" ht="14.25" customHeight="1" x14ac:dyDescent="0.3">
      <c r="B75" s="15"/>
      <c r="E75" s="26"/>
      <c r="G75" s="8"/>
      <c r="H75" s="8"/>
    </row>
    <row r="76" spans="2:8" ht="14.25" customHeight="1" x14ac:dyDescent="0.3">
      <c r="B76" s="15"/>
      <c r="E76" s="26"/>
      <c r="G76" s="8"/>
      <c r="H76" s="8"/>
    </row>
    <row r="77" spans="2:8" ht="14.25" customHeight="1" x14ac:dyDescent="0.3">
      <c r="B77" s="15"/>
      <c r="E77" s="26"/>
      <c r="G77" s="8"/>
      <c r="H77" s="8"/>
    </row>
    <row r="78" spans="2:8" ht="14.25" customHeight="1" x14ac:dyDescent="0.3">
      <c r="B78" s="15"/>
      <c r="E78" s="26"/>
      <c r="G78" s="8"/>
      <c r="H78" s="8"/>
    </row>
    <row r="79" spans="2:8" ht="14.25" customHeight="1" x14ac:dyDescent="0.3">
      <c r="B79" s="15"/>
      <c r="E79" s="26"/>
      <c r="G79" s="8"/>
      <c r="H79" s="8"/>
    </row>
    <row r="80" spans="2:8" ht="14.25" customHeight="1" x14ac:dyDescent="0.3">
      <c r="B80" s="15"/>
      <c r="E80" s="26"/>
      <c r="G80" s="8"/>
      <c r="H80" s="8"/>
    </row>
    <row r="81" spans="2:8" ht="14.25" customHeight="1" x14ac:dyDescent="0.3">
      <c r="B81" s="15"/>
      <c r="E81" s="26"/>
      <c r="G81" s="8"/>
      <c r="H81" s="8"/>
    </row>
    <row r="82" spans="2:8" ht="14.25" customHeight="1" x14ac:dyDescent="0.3">
      <c r="B82" s="15"/>
      <c r="E82" s="26"/>
      <c r="G82" s="8"/>
      <c r="H82" s="8"/>
    </row>
    <row r="83" spans="2:8" ht="14.25" customHeight="1" x14ac:dyDescent="0.3">
      <c r="B83" s="15"/>
      <c r="E83" s="26"/>
      <c r="G83" s="8"/>
      <c r="H83" s="8"/>
    </row>
    <row r="84" spans="2:8" ht="14.25" customHeight="1" x14ac:dyDescent="0.3">
      <c r="B84" s="15"/>
      <c r="E84" s="26"/>
      <c r="G84" s="8"/>
      <c r="H84" s="8"/>
    </row>
    <row r="85" spans="2:8" ht="14.25" customHeight="1" x14ac:dyDescent="0.3">
      <c r="B85" s="15"/>
      <c r="E85" s="26"/>
      <c r="G85" s="8"/>
      <c r="H85" s="8"/>
    </row>
    <row r="86" spans="2:8" ht="14.25" customHeight="1" x14ac:dyDescent="0.3">
      <c r="B86" s="15"/>
      <c r="E86" s="26"/>
      <c r="G86" s="8"/>
      <c r="H86" s="8"/>
    </row>
    <row r="87" spans="2:8" ht="14.25" customHeight="1" x14ac:dyDescent="0.3">
      <c r="B87" s="15"/>
      <c r="E87" s="26"/>
      <c r="G87" s="8"/>
      <c r="H87" s="8"/>
    </row>
    <row r="88" spans="2:8" ht="14.25" customHeight="1" x14ac:dyDescent="0.3">
      <c r="B88" s="15"/>
      <c r="E88" s="26"/>
      <c r="G88" s="8"/>
      <c r="H88" s="8"/>
    </row>
    <row r="89" spans="2:8" ht="14.25" customHeight="1" x14ac:dyDescent="0.3">
      <c r="B89" s="15"/>
      <c r="E89" s="26"/>
      <c r="G89" s="8"/>
      <c r="H89" s="8"/>
    </row>
    <row r="90" spans="2:8" ht="14.25" customHeight="1" x14ac:dyDescent="0.3">
      <c r="B90" s="15"/>
      <c r="E90" s="26"/>
      <c r="G90" s="8"/>
      <c r="H90" s="8"/>
    </row>
    <row r="91" spans="2:8" ht="14.25" customHeight="1" x14ac:dyDescent="0.3">
      <c r="B91" s="15"/>
      <c r="E91" s="26"/>
      <c r="G91" s="8"/>
      <c r="H91" s="8"/>
    </row>
    <row r="92" spans="2:8" ht="14.25" customHeight="1" x14ac:dyDescent="0.3">
      <c r="B92" s="15"/>
      <c r="E92" s="26"/>
      <c r="G92" s="8"/>
      <c r="H92" s="8"/>
    </row>
    <row r="93" spans="2:8" ht="14.25" customHeight="1" x14ac:dyDescent="0.3">
      <c r="B93" s="15"/>
      <c r="E93" s="26"/>
      <c r="G93" s="8"/>
      <c r="H93" s="8"/>
    </row>
    <row r="94" spans="2:8" ht="14.25" customHeight="1" x14ac:dyDescent="0.3">
      <c r="B94" s="15"/>
      <c r="E94" s="26"/>
      <c r="G94" s="8"/>
      <c r="H94" s="8"/>
    </row>
    <row r="95" spans="2:8" ht="14.25" customHeight="1" x14ac:dyDescent="0.3">
      <c r="B95" s="15"/>
      <c r="E95" s="26"/>
      <c r="G95" s="8"/>
      <c r="H95" s="8"/>
    </row>
    <row r="96" spans="2:8" ht="14.25" customHeight="1" x14ac:dyDescent="0.3">
      <c r="B96" s="15"/>
      <c r="E96" s="26"/>
      <c r="G96" s="8"/>
      <c r="H96" s="8"/>
    </row>
    <row r="97" spans="2:8" ht="14.25" customHeight="1" x14ac:dyDescent="0.3">
      <c r="B97" s="15"/>
      <c r="E97" s="26"/>
      <c r="G97" s="8"/>
      <c r="H97" s="8"/>
    </row>
    <row r="98" spans="2:8" ht="14.25" customHeight="1" x14ac:dyDescent="0.3">
      <c r="B98" s="15"/>
      <c r="E98" s="26"/>
      <c r="G98" s="8"/>
      <c r="H98" s="8"/>
    </row>
    <row r="99" spans="2:8" ht="14.25" customHeight="1" x14ac:dyDescent="0.3">
      <c r="B99" s="15"/>
      <c r="E99" s="26"/>
      <c r="G99" s="8"/>
      <c r="H99" s="8"/>
    </row>
    <row r="100" spans="2:8" ht="14.25" customHeight="1" x14ac:dyDescent="0.3">
      <c r="B100" s="15"/>
      <c r="E100" s="26"/>
      <c r="G100" s="8"/>
      <c r="H100" s="8"/>
    </row>
    <row r="101" spans="2:8" ht="14.25" customHeight="1" x14ac:dyDescent="0.3">
      <c r="B101" s="15"/>
      <c r="E101" s="26"/>
      <c r="G101" s="8"/>
      <c r="H101" s="8"/>
    </row>
    <row r="102" spans="2:8" ht="14.25" customHeight="1" x14ac:dyDescent="0.3">
      <c r="B102" s="15"/>
      <c r="E102" s="26"/>
      <c r="G102" s="8"/>
      <c r="H102" s="8"/>
    </row>
    <row r="103" spans="2:8" ht="14.25" customHeight="1" x14ac:dyDescent="0.3">
      <c r="B103" s="15"/>
      <c r="E103" s="26"/>
      <c r="G103" s="8"/>
      <c r="H103" s="8"/>
    </row>
    <row r="104" spans="2:8" ht="14.25" customHeight="1" x14ac:dyDescent="0.3">
      <c r="B104" s="15"/>
      <c r="E104" s="26"/>
      <c r="G104" s="8"/>
      <c r="H104" s="8"/>
    </row>
    <row r="105" spans="2:8" ht="14.25" customHeight="1" x14ac:dyDescent="0.3">
      <c r="B105" s="15"/>
      <c r="E105" s="26"/>
      <c r="G105" s="8"/>
      <c r="H105" s="8"/>
    </row>
    <row r="106" spans="2:8" ht="14.25" customHeight="1" x14ac:dyDescent="0.3">
      <c r="B106" s="15"/>
      <c r="E106" s="26"/>
      <c r="G106" s="8"/>
      <c r="H106" s="8"/>
    </row>
    <row r="107" spans="2:8" ht="14.25" customHeight="1" x14ac:dyDescent="0.3">
      <c r="B107" s="15"/>
      <c r="E107" s="26"/>
      <c r="G107" s="8"/>
      <c r="H107" s="8"/>
    </row>
    <row r="108" spans="2:8" ht="14.25" customHeight="1" x14ac:dyDescent="0.3">
      <c r="B108" s="15"/>
      <c r="E108" s="26"/>
      <c r="G108" s="8"/>
      <c r="H108" s="8"/>
    </row>
    <row r="109" spans="2:8" ht="14.25" customHeight="1" x14ac:dyDescent="0.3">
      <c r="B109" s="15"/>
      <c r="E109" s="26"/>
      <c r="G109" s="8"/>
      <c r="H109" s="8"/>
    </row>
    <row r="110" spans="2:8" ht="14.25" customHeight="1" x14ac:dyDescent="0.3">
      <c r="B110" s="15"/>
      <c r="E110" s="26"/>
      <c r="G110" s="8"/>
      <c r="H110" s="8"/>
    </row>
    <row r="111" spans="2:8" ht="14.25" customHeight="1" x14ac:dyDescent="0.3">
      <c r="B111" s="15"/>
      <c r="E111" s="26"/>
      <c r="G111" s="8"/>
      <c r="H111" s="8"/>
    </row>
    <row r="112" spans="2:8" ht="14.25" customHeight="1" x14ac:dyDescent="0.3">
      <c r="B112" s="15"/>
      <c r="E112" s="26"/>
      <c r="G112" s="8"/>
      <c r="H112" s="8"/>
    </row>
    <row r="113" spans="2:8" ht="14.25" customHeight="1" x14ac:dyDescent="0.3">
      <c r="B113" s="15"/>
      <c r="E113" s="26"/>
      <c r="G113" s="8"/>
      <c r="H113" s="8"/>
    </row>
    <row r="114" spans="2:8" ht="14.25" customHeight="1" x14ac:dyDescent="0.3">
      <c r="B114" s="15"/>
      <c r="E114" s="26"/>
      <c r="G114" s="8"/>
      <c r="H114" s="8"/>
    </row>
    <row r="115" spans="2:8" ht="14.25" customHeight="1" x14ac:dyDescent="0.3">
      <c r="B115" s="15"/>
      <c r="E115" s="26"/>
      <c r="G115" s="8"/>
      <c r="H115" s="8"/>
    </row>
    <row r="116" spans="2:8" ht="14.25" customHeight="1" x14ac:dyDescent="0.3">
      <c r="B116" s="15"/>
      <c r="E116" s="26"/>
      <c r="G116" s="8"/>
      <c r="H116" s="8"/>
    </row>
    <row r="117" spans="2:8" ht="14.25" customHeight="1" x14ac:dyDescent="0.3">
      <c r="B117" s="15"/>
      <c r="E117" s="26"/>
      <c r="G117" s="8"/>
      <c r="H117" s="8"/>
    </row>
    <row r="118" spans="2:8" ht="14.25" customHeight="1" x14ac:dyDescent="0.3">
      <c r="B118" s="15"/>
      <c r="E118" s="26"/>
      <c r="G118" s="8"/>
      <c r="H118" s="8"/>
    </row>
    <row r="119" spans="2:8" ht="14.25" customHeight="1" x14ac:dyDescent="0.3">
      <c r="B119" s="15"/>
      <c r="E119" s="26"/>
      <c r="G119" s="8"/>
      <c r="H119" s="8"/>
    </row>
    <row r="120" spans="2:8" ht="14.25" customHeight="1" x14ac:dyDescent="0.3">
      <c r="B120" s="15"/>
      <c r="E120" s="26"/>
      <c r="G120" s="8"/>
      <c r="H120" s="8"/>
    </row>
    <row r="121" spans="2:8" ht="14.25" customHeight="1" x14ac:dyDescent="0.3">
      <c r="B121" s="15"/>
      <c r="E121" s="26"/>
      <c r="G121" s="8"/>
      <c r="H121" s="8"/>
    </row>
    <row r="122" spans="2:8" ht="14.25" customHeight="1" x14ac:dyDescent="0.3">
      <c r="B122" s="15"/>
      <c r="E122" s="26"/>
      <c r="G122" s="8"/>
      <c r="H122" s="8"/>
    </row>
    <row r="123" spans="2:8" ht="14.25" customHeight="1" x14ac:dyDescent="0.3">
      <c r="B123" s="15"/>
      <c r="E123" s="26"/>
      <c r="G123" s="8"/>
      <c r="H123" s="8"/>
    </row>
    <row r="124" spans="2:8" ht="14.25" customHeight="1" x14ac:dyDescent="0.3">
      <c r="B124" s="15"/>
      <c r="E124" s="26"/>
      <c r="G124" s="8"/>
      <c r="H124" s="8"/>
    </row>
    <row r="125" spans="2:8" ht="14.25" customHeight="1" x14ac:dyDescent="0.3">
      <c r="B125" s="15"/>
      <c r="E125" s="26"/>
      <c r="G125" s="8"/>
      <c r="H125" s="8"/>
    </row>
    <row r="126" spans="2:8" ht="14.25" customHeight="1" x14ac:dyDescent="0.3">
      <c r="B126" s="15"/>
      <c r="E126" s="26"/>
      <c r="G126" s="8"/>
      <c r="H126" s="8"/>
    </row>
    <row r="127" spans="2:8" ht="14.25" customHeight="1" x14ac:dyDescent="0.3">
      <c r="B127" s="15"/>
      <c r="E127" s="26"/>
      <c r="G127" s="8"/>
      <c r="H127" s="8"/>
    </row>
    <row r="128" spans="2:8" ht="14.25" customHeight="1" x14ac:dyDescent="0.3">
      <c r="B128" s="15"/>
      <c r="E128" s="26"/>
      <c r="G128" s="8"/>
      <c r="H128" s="8"/>
    </row>
    <row r="129" spans="2:8" ht="14.25" customHeight="1" x14ac:dyDescent="0.3">
      <c r="B129" s="15"/>
      <c r="E129" s="26"/>
      <c r="G129" s="8"/>
      <c r="H129" s="8"/>
    </row>
    <row r="130" spans="2:8" ht="14.25" customHeight="1" x14ac:dyDescent="0.3">
      <c r="B130" s="15"/>
      <c r="E130" s="26"/>
      <c r="G130" s="8"/>
      <c r="H130" s="8"/>
    </row>
    <row r="131" spans="2:8" ht="14.25" customHeight="1" x14ac:dyDescent="0.3">
      <c r="B131" s="15"/>
      <c r="E131" s="26"/>
      <c r="G131" s="8"/>
      <c r="H131" s="8"/>
    </row>
    <row r="132" spans="2:8" ht="14.25" customHeight="1" x14ac:dyDescent="0.3">
      <c r="B132" s="15"/>
      <c r="E132" s="26"/>
      <c r="G132" s="8"/>
      <c r="H132" s="8"/>
    </row>
    <row r="133" spans="2:8" ht="14.25" customHeight="1" x14ac:dyDescent="0.3">
      <c r="B133" s="15"/>
      <c r="E133" s="26"/>
      <c r="G133" s="8"/>
      <c r="H133" s="8"/>
    </row>
    <row r="134" spans="2:8" ht="14.25" customHeight="1" x14ac:dyDescent="0.3">
      <c r="B134" s="15"/>
      <c r="E134" s="26"/>
      <c r="G134" s="8"/>
      <c r="H134" s="8"/>
    </row>
    <row r="135" spans="2:8" ht="14.25" customHeight="1" x14ac:dyDescent="0.3">
      <c r="B135" s="15"/>
      <c r="E135" s="26"/>
      <c r="G135" s="8"/>
      <c r="H135" s="8"/>
    </row>
    <row r="136" spans="2:8" ht="14.25" customHeight="1" x14ac:dyDescent="0.3">
      <c r="B136" s="15"/>
      <c r="E136" s="26"/>
      <c r="G136" s="8"/>
      <c r="H136" s="8"/>
    </row>
    <row r="137" spans="2:8" ht="14.25" customHeight="1" x14ac:dyDescent="0.3">
      <c r="B137" s="15"/>
      <c r="E137" s="26"/>
      <c r="G137" s="8"/>
      <c r="H137" s="8"/>
    </row>
    <row r="138" spans="2:8" ht="14.25" customHeight="1" x14ac:dyDescent="0.3">
      <c r="B138" s="15"/>
      <c r="E138" s="26"/>
      <c r="G138" s="8"/>
      <c r="H138" s="8"/>
    </row>
    <row r="139" spans="2:8" ht="14.25" customHeight="1" x14ac:dyDescent="0.3">
      <c r="B139" s="15"/>
      <c r="E139" s="26"/>
      <c r="G139" s="8"/>
      <c r="H139" s="8"/>
    </row>
    <row r="140" spans="2:8" ht="14.25" customHeight="1" x14ac:dyDescent="0.3">
      <c r="B140" s="15"/>
      <c r="E140" s="26"/>
      <c r="G140" s="8"/>
      <c r="H140" s="8"/>
    </row>
    <row r="141" spans="2:8" ht="14.25" customHeight="1" x14ac:dyDescent="0.3">
      <c r="B141" s="15"/>
      <c r="E141" s="26"/>
      <c r="G141" s="8"/>
      <c r="H141" s="8"/>
    </row>
    <row r="142" spans="2:8" ht="14.25" customHeight="1" x14ac:dyDescent="0.3">
      <c r="B142" s="15"/>
      <c r="E142" s="26"/>
      <c r="G142" s="8"/>
      <c r="H142" s="8"/>
    </row>
    <row r="143" spans="2:8" ht="14.25" customHeight="1" x14ac:dyDescent="0.3">
      <c r="B143" s="15"/>
      <c r="E143" s="26"/>
      <c r="G143" s="8"/>
      <c r="H143" s="8"/>
    </row>
    <row r="144" spans="2:8" ht="14.25" customHeight="1" x14ac:dyDescent="0.3">
      <c r="B144" s="15"/>
      <c r="E144" s="26"/>
      <c r="G144" s="8"/>
      <c r="H144" s="8"/>
    </row>
    <row r="145" spans="2:8" ht="14.25" customHeight="1" x14ac:dyDescent="0.3">
      <c r="B145" s="15"/>
      <c r="E145" s="26"/>
      <c r="G145" s="8"/>
      <c r="H145" s="8"/>
    </row>
    <row r="146" spans="2:8" ht="14.25" customHeight="1" x14ac:dyDescent="0.3">
      <c r="B146" s="15"/>
      <c r="E146" s="26"/>
      <c r="G146" s="8"/>
      <c r="H146" s="8"/>
    </row>
    <row r="147" spans="2:8" ht="14.25" customHeight="1" x14ac:dyDescent="0.3">
      <c r="B147" s="15"/>
      <c r="E147" s="26"/>
      <c r="G147" s="8"/>
      <c r="H147" s="8"/>
    </row>
    <row r="148" spans="2:8" ht="14.25" customHeight="1" x14ac:dyDescent="0.3">
      <c r="B148" s="15"/>
      <c r="E148" s="26"/>
      <c r="G148" s="8"/>
      <c r="H148" s="8"/>
    </row>
    <row r="149" spans="2:8" ht="14.25" customHeight="1" x14ac:dyDescent="0.3">
      <c r="B149" s="15"/>
      <c r="E149" s="26"/>
      <c r="G149" s="8"/>
      <c r="H149" s="8"/>
    </row>
    <row r="150" spans="2:8" ht="14.25" customHeight="1" x14ac:dyDescent="0.3">
      <c r="B150" s="15"/>
      <c r="E150" s="26"/>
      <c r="G150" s="8"/>
      <c r="H150" s="8"/>
    </row>
    <row r="151" spans="2:8" ht="14.25" customHeight="1" x14ac:dyDescent="0.3">
      <c r="B151" s="15"/>
      <c r="E151" s="26"/>
      <c r="G151" s="8"/>
      <c r="H151" s="8"/>
    </row>
    <row r="152" spans="2:8" ht="14.25" customHeight="1" x14ac:dyDescent="0.3">
      <c r="B152" s="15"/>
      <c r="E152" s="26"/>
      <c r="G152" s="8"/>
      <c r="H152" s="8"/>
    </row>
    <row r="153" spans="2:8" ht="14.25" customHeight="1" x14ac:dyDescent="0.3">
      <c r="B153" s="15"/>
      <c r="E153" s="26"/>
      <c r="G153" s="8"/>
      <c r="H153" s="8"/>
    </row>
    <row r="154" spans="2:8" ht="14.25" customHeight="1" x14ac:dyDescent="0.3">
      <c r="B154" s="15"/>
      <c r="E154" s="26"/>
      <c r="G154" s="8"/>
      <c r="H154" s="8"/>
    </row>
    <row r="155" spans="2:8" ht="14.25" customHeight="1" x14ac:dyDescent="0.3">
      <c r="B155" s="15"/>
      <c r="E155" s="26"/>
      <c r="G155" s="8"/>
      <c r="H155" s="8"/>
    </row>
    <row r="156" spans="2:8" ht="14.25" customHeight="1" x14ac:dyDescent="0.3">
      <c r="B156" s="15"/>
      <c r="E156" s="26"/>
      <c r="G156" s="8"/>
      <c r="H156" s="8"/>
    </row>
    <row r="157" spans="2:8" ht="14.25" customHeight="1" x14ac:dyDescent="0.3">
      <c r="B157" s="15"/>
      <c r="E157" s="26"/>
      <c r="G157" s="8"/>
      <c r="H157" s="8"/>
    </row>
    <row r="158" spans="2:8" ht="14.25" customHeight="1" x14ac:dyDescent="0.3">
      <c r="B158" s="15"/>
      <c r="E158" s="26"/>
      <c r="G158" s="8"/>
      <c r="H158" s="8"/>
    </row>
    <row r="159" spans="2:8" ht="14.25" customHeight="1" x14ac:dyDescent="0.3">
      <c r="B159" s="15"/>
      <c r="E159" s="26"/>
      <c r="G159" s="8"/>
      <c r="H159" s="8"/>
    </row>
    <row r="160" spans="2:8" ht="14.25" customHeight="1" x14ac:dyDescent="0.3">
      <c r="B160" s="15"/>
      <c r="E160" s="26"/>
      <c r="G160" s="8"/>
      <c r="H160" s="8"/>
    </row>
    <row r="161" spans="2:8" ht="14.25" customHeight="1" x14ac:dyDescent="0.3">
      <c r="B161" s="15"/>
      <c r="E161" s="26"/>
      <c r="G161" s="8"/>
      <c r="H161" s="8"/>
    </row>
    <row r="162" spans="2:8" ht="14.25" customHeight="1" x14ac:dyDescent="0.3">
      <c r="B162" s="15"/>
      <c r="E162" s="26"/>
      <c r="G162" s="8"/>
      <c r="H162" s="8"/>
    </row>
    <row r="163" spans="2:8" ht="14.25" customHeight="1" x14ac:dyDescent="0.3">
      <c r="B163" s="15"/>
      <c r="E163" s="26"/>
      <c r="G163" s="8"/>
      <c r="H163" s="8"/>
    </row>
    <row r="164" spans="2:8" ht="14.25" customHeight="1" x14ac:dyDescent="0.3">
      <c r="B164" s="15"/>
      <c r="E164" s="26"/>
      <c r="G164" s="8"/>
      <c r="H164" s="8"/>
    </row>
    <row r="165" spans="2:8" ht="14.25" customHeight="1" x14ac:dyDescent="0.3">
      <c r="B165" s="15"/>
      <c r="E165" s="26"/>
      <c r="G165" s="8"/>
      <c r="H165" s="8"/>
    </row>
    <row r="166" spans="2:8" ht="14.25" customHeight="1" x14ac:dyDescent="0.3">
      <c r="B166" s="15"/>
      <c r="E166" s="26"/>
      <c r="G166" s="8"/>
      <c r="H166" s="8"/>
    </row>
    <row r="167" spans="2:8" ht="14.25" customHeight="1" x14ac:dyDescent="0.3">
      <c r="B167" s="15"/>
      <c r="E167" s="26"/>
      <c r="G167" s="8"/>
      <c r="H167" s="8"/>
    </row>
    <row r="168" spans="2:8" ht="14.25" customHeight="1" x14ac:dyDescent="0.3">
      <c r="B168" s="15"/>
      <c r="E168" s="26"/>
      <c r="G168" s="8"/>
      <c r="H168" s="8"/>
    </row>
    <row r="169" spans="2:8" ht="14.25" customHeight="1" x14ac:dyDescent="0.3">
      <c r="B169" s="15"/>
      <c r="E169" s="26"/>
      <c r="G169" s="8"/>
      <c r="H169" s="8"/>
    </row>
    <row r="170" spans="2:8" ht="14.25" customHeight="1" x14ac:dyDescent="0.3">
      <c r="B170" s="15"/>
      <c r="E170" s="26"/>
      <c r="G170" s="8"/>
      <c r="H170" s="8"/>
    </row>
    <row r="171" spans="2:8" ht="14.25" customHeight="1" x14ac:dyDescent="0.3">
      <c r="B171" s="15"/>
      <c r="E171" s="26"/>
      <c r="G171" s="8"/>
      <c r="H171" s="8"/>
    </row>
    <row r="172" spans="2:8" ht="14.25" customHeight="1" x14ac:dyDescent="0.3">
      <c r="B172" s="15"/>
      <c r="E172" s="26"/>
      <c r="G172" s="8"/>
      <c r="H172" s="8"/>
    </row>
    <row r="173" spans="2:8" ht="14.25" customHeight="1" x14ac:dyDescent="0.3">
      <c r="B173" s="15"/>
      <c r="E173" s="26"/>
      <c r="G173" s="8"/>
      <c r="H173" s="8"/>
    </row>
    <row r="174" spans="2:8" ht="14.25" customHeight="1" x14ac:dyDescent="0.3">
      <c r="B174" s="15"/>
      <c r="E174" s="26"/>
      <c r="G174" s="8"/>
      <c r="H174" s="8"/>
    </row>
    <row r="175" spans="2:8" ht="14.25" customHeight="1" x14ac:dyDescent="0.3">
      <c r="B175" s="15"/>
      <c r="E175" s="26"/>
      <c r="G175" s="8"/>
      <c r="H175" s="8"/>
    </row>
    <row r="176" spans="2:8" ht="14.25" customHeight="1" x14ac:dyDescent="0.3">
      <c r="B176" s="15"/>
      <c r="E176" s="26"/>
      <c r="G176" s="8"/>
      <c r="H176" s="8"/>
    </row>
    <row r="177" spans="2:8" ht="14.25" customHeight="1" x14ac:dyDescent="0.3">
      <c r="B177" s="15"/>
      <c r="E177" s="26"/>
      <c r="G177" s="8"/>
      <c r="H177" s="8"/>
    </row>
    <row r="178" spans="2:8" ht="14.25" customHeight="1" x14ac:dyDescent="0.3">
      <c r="B178" s="15"/>
      <c r="E178" s="26"/>
      <c r="G178" s="8"/>
      <c r="H178" s="8"/>
    </row>
    <row r="179" spans="2:8" ht="14.25" customHeight="1" x14ac:dyDescent="0.3">
      <c r="B179" s="15"/>
      <c r="E179" s="26"/>
      <c r="G179" s="8"/>
      <c r="H179" s="8"/>
    </row>
    <row r="180" spans="2:8" ht="14.25" customHeight="1" x14ac:dyDescent="0.3">
      <c r="B180" s="15"/>
      <c r="E180" s="26"/>
      <c r="G180" s="8"/>
      <c r="H180" s="8"/>
    </row>
    <row r="181" spans="2:8" ht="14.25" customHeight="1" x14ac:dyDescent="0.3">
      <c r="B181" s="15"/>
      <c r="E181" s="26"/>
      <c r="G181" s="8"/>
      <c r="H181" s="8"/>
    </row>
    <row r="182" spans="2:8" ht="14.25" customHeight="1" x14ac:dyDescent="0.3">
      <c r="B182" s="15"/>
      <c r="E182" s="26"/>
      <c r="G182" s="8"/>
      <c r="H182" s="8"/>
    </row>
    <row r="183" spans="2:8" ht="14.25" customHeight="1" x14ac:dyDescent="0.3">
      <c r="B183" s="15"/>
      <c r="E183" s="26"/>
      <c r="G183" s="8"/>
      <c r="H183" s="8"/>
    </row>
    <row r="184" spans="2:8" ht="14.25" customHeight="1" x14ac:dyDescent="0.3">
      <c r="B184" s="15"/>
      <c r="E184" s="26"/>
      <c r="G184" s="8"/>
      <c r="H184" s="8"/>
    </row>
    <row r="185" spans="2:8" ht="14.25" customHeight="1" x14ac:dyDescent="0.3">
      <c r="B185" s="15"/>
      <c r="E185" s="26"/>
      <c r="G185" s="8"/>
      <c r="H185" s="8"/>
    </row>
    <row r="186" spans="2:8" ht="14.25" customHeight="1" x14ac:dyDescent="0.3">
      <c r="B186" s="15"/>
      <c r="E186" s="26"/>
      <c r="G186" s="8"/>
      <c r="H186" s="8"/>
    </row>
    <row r="187" spans="2:8" ht="14.25" customHeight="1" x14ac:dyDescent="0.3">
      <c r="B187" s="15"/>
      <c r="E187" s="26"/>
      <c r="G187" s="8"/>
      <c r="H187" s="8"/>
    </row>
    <row r="188" spans="2:8" ht="14.25" customHeight="1" x14ac:dyDescent="0.3">
      <c r="B188" s="15"/>
      <c r="E188" s="26"/>
      <c r="G188" s="8"/>
      <c r="H188" s="8"/>
    </row>
    <row r="189" spans="2:8" ht="14.25" customHeight="1" x14ac:dyDescent="0.3">
      <c r="B189" s="15"/>
      <c r="E189" s="26"/>
      <c r="G189" s="8"/>
      <c r="H189" s="8"/>
    </row>
    <row r="190" spans="2:8" ht="14.25" customHeight="1" x14ac:dyDescent="0.3">
      <c r="B190" s="15"/>
      <c r="E190" s="26"/>
      <c r="G190" s="8"/>
      <c r="H190" s="8"/>
    </row>
    <row r="191" spans="2:8" ht="14.25" customHeight="1" x14ac:dyDescent="0.3">
      <c r="B191" s="15"/>
      <c r="E191" s="26"/>
      <c r="G191" s="8"/>
      <c r="H191" s="8"/>
    </row>
    <row r="192" spans="2:8" ht="14.25" customHeight="1" x14ac:dyDescent="0.3">
      <c r="B192" s="15"/>
      <c r="E192" s="26"/>
      <c r="G192" s="8"/>
      <c r="H192" s="8"/>
    </row>
    <row r="193" spans="2:8" ht="14.25" customHeight="1" x14ac:dyDescent="0.3">
      <c r="B193" s="15"/>
      <c r="E193" s="26"/>
      <c r="G193" s="8"/>
      <c r="H193" s="8"/>
    </row>
    <row r="194" spans="2:8" ht="14.25" customHeight="1" x14ac:dyDescent="0.3">
      <c r="B194" s="15"/>
      <c r="E194" s="26"/>
      <c r="G194" s="8"/>
      <c r="H194" s="8"/>
    </row>
    <row r="195" spans="2:8" ht="14.25" customHeight="1" x14ac:dyDescent="0.3">
      <c r="B195" s="15"/>
      <c r="E195" s="26"/>
      <c r="G195" s="8"/>
      <c r="H195" s="8"/>
    </row>
    <row r="196" spans="2:8" ht="14.25" customHeight="1" x14ac:dyDescent="0.3">
      <c r="B196" s="15"/>
      <c r="E196" s="26"/>
      <c r="G196" s="8"/>
      <c r="H196" s="8"/>
    </row>
    <row r="197" spans="2:8" ht="14.25" customHeight="1" x14ac:dyDescent="0.3">
      <c r="B197" s="15"/>
      <c r="E197" s="26"/>
      <c r="G197" s="8"/>
      <c r="H197" s="8"/>
    </row>
    <row r="198" spans="2:8" ht="14.25" customHeight="1" x14ac:dyDescent="0.3">
      <c r="B198" s="15"/>
      <c r="E198" s="26"/>
      <c r="G198" s="8"/>
      <c r="H198" s="8"/>
    </row>
    <row r="199" spans="2:8" ht="14.25" customHeight="1" x14ac:dyDescent="0.3">
      <c r="B199" s="15"/>
      <c r="E199" s="26"/>
      <c r="G199" s="8"/>
      <c r="H199" s="8"/>
    </row>
    <row r="200" spans="2:8" ht="14.25" customHeight="1" x14ac:dyDescent="0.3">
      <c r="B200" s="15"/>
      <c r="E200" s="26"/>
      <c r="G200" s="8"/>
      <c r="H200" s="8"/>
    </row>
    <row r="201" spans="2:8" ht="14.25" customHeight="1" x14ac:dyDescent="0.3">
      <c r="B201" s="15"/>
      <c r="E201" s="26"/>
      <c r="G201" s="8"/>
      <c r="H201" s="8"/>
    </row>
    <row r="202" spans="2:8" ht="14.25" customHeight="1" x14ac:dyDescent="0.3">
      <c r="B202" s="15"/>
      <c r="E202" s="26"/>
      <c r="G202" s="8"/>
      <c r="H202" s="8"/>
    </row>
    <row r="203" spans="2:8" ht="14.25" customHeight="1" x14ac:dyDescent="0.3">
      <c r="B203" s="15"/>
      <c r="E203" s="26"/>
      <c r="G203" s="8"/>
      <c r="H203" s="8"/>
    </row>
    <row r="204" spans="2:8" ht="14.25" customHeight="1" x14ac:dyDescent="0.3">
      <c r="B204" s="15"/>
      <c r="E204" s="26"/>
      <c r="G204" s="8"/>
      <c r="H204" s="8"/>
    </row>
    <row r="205" spans="2:8" ht="14.25" customHeight="1" x14ac:dyDescent="0.3">
      <c r="B205" s="15"/>
      <c r="E205" s="26"/>
      <c r="G205" s="8"/>
      <c r="H205" s="8"/>
    </row>
    <row r="206" spans="2:8" ht="14.25" customHeight="1" x14ac:dyDescent="0.3">
      <c r="B206" s="15"/>
      <c r="E206" s="26"/>
      <c r="G206" s="8"/>
      <c r="H206" s="8"/>
    </row>
    <row r="207" spans="2:8" ht="14.25" customHeight="1" x14ac:dyDescent="0.3">
      <c r="B207" s="15"/>
      <c r="E207" s="26"/>
      <c r="G207" s="8"/>
      <c r="H207" s="8"/>
    </row>
    <row r="208" spans="2:8" ht="14.25" customHeight="1" x14ac:dyDescent="0.3">
      <c r="B208" s="15"/>
      <c r="E208" s="26"/>
      <c r="G208" s="8"/>
      <c r="H208" s="8"/>
    </row>
    <row r="209" spans="2:8" ht="14.25" customHeight="1" x14ac:dyDescent="0.3">
      <c r="B209" s="15"/>
      <c r="E209" s="26"/>
      <c r="G209" s="8"/>
      <c r="H209" s="8"/>
    </row>
    <row r="210" spans="2:8" ht="14.25" customHeight="1" x14ac:dyDescent="0.3">
      <c r="B210" s="15"/>
      <c r="E210" s="26"/>
      <c r="G210" s="8"/>
      <c r="H210" s="8"/>
    </row>
    <row r="211" spans="2:8" ht="14.25" customHeight="1" x14ac:dyDescent="0.3">
      <c r="B211" s="15"/>
      <c r="E211" s="26"/>
      <c r="G211" s="8"/>
      <c r="H211" s="8"/>
    </row>
    <row r="212" spans="2:8" ht="14.25" customHeight="1" x14ac:dyDescent="0.3">
      <c r="B212" s="15"/>
      <c r="E212" s="26"/>
      <c r="G212" s="8"/>
      <c r="H212" s="8"/>
    </row>
    <row r="213" spans="2:8" ht="14.25" customHeight="1" x14ac:dyDescent="0.3">
      <c r="B213" s="15"/>
      <c r="E213" s="26"/>
      <c r="G213" s="8"/>
      <c r="H213" s="8"/>
    </row>
    <row r="214" spans="2:8" ht="14.25" customHeight="1" x14ac:dyDescent="0.3">
      <c r="B214" s="15"/>
      <c r="E214" s="26"/>
      <c r="G214" s="8"/>
      <c r="H214" s="8"/>
    </row>
    <row r="215" spans="2:8" ht="14.25" customHeight="1" x14ac:dyDescent="0.3">
      <c r="B215" s="15"/>
      <c r="E215" s="26"/>
      <c r="G215" s="8"/>
      <c r="H215" s="8"/>
    </row>
    <row r="216" spans="2:8" ht="14.25" customHeight="1" x14ac:dyDescent="0.3">
      <c r="B216" s="15"/>
      <c r="E216" s="26"/>
      <c r="G216" s="8"/>
      <c r="H216" s="8"/>
    </row>
    <row r="217" spans="2:8" ht="14.25" customHeight="1" x14ac:dyDescent="0.3">
      <c r="B217" s="15"/>
      <c r="E217" s="26"/>
      <c r="G217" s="8"/>
      <c r="H217" s="8"/>
    </row>
    <row r="218" spans="2:8" ht="14.25" customHeight="1" x14ac:dyDescent="0.3">
      <c r="B218" s="15"/>
      <c r="E218" s="26"/>
      <c r="G218" s="8"/>
      <c r="H218" s="8"/>
    </row>
    <row r="219" spans="2:8" ht="14.25" customHeight="1" x14ac:dyDescent="0.3">
      <c r="B219" s="15"/>
      <c r="E219" s="26"/>
      <c r="G219" s="8"/>
      <c r="H219" s="8"/>
    </row>
    <row r="220" spans="2:8" ht="14.25" customHeight="1" x14ac:dyDescent="0.3">
      <c r="B220" s="15"/>
      <c r="E220" s="26"/>
      <c r="G220" s="8"/>
      <c r="H220" s="8"/>
    </row>
    <row r="221" spans="2:8" ht="14.25" customHeight="1" x14ac:dyDescent="0.3">
      <c r="B221" s="15"/>
      <c r="E221" s="26"/>
      <c r="G221" s="8"/>
      <c r="H221" s="8"/>
    </row>
    <row r="222" spans="2:8" ht="14.25" customHeight="1" x14ac:dyDescent="0.3">
      <c r="B222" s="15"/>
      <c r="E222" s="26"/>
      <c r="G222" s="8"/>
      <c r="H222" s="8"/>
    </row>
    <row r="223" spans="2:8" ht="14.25" customHeight="1" x14ac:dyDescent="0.3">
      <c r="B223" s="15"/>
      <c r="E223" s="26"/>
      <c r="G223" s="8"/>
      <c r="H223" s="8"/>
    </row>
    <row r="224" spans="2:8" ht="14.25" customHeight="1" x14ac:dyDescent="0.3">
      <c r="B224" s="15"/>
      <c r="E224" s="26"/>
      <c r="G224" s="8"/>
      <c r="H224" s="8"/>
    </row>
    <row r="225" spans="2:8" ht="14.25" customHeight="1" x14ac:dyDescent="0.3">
      <c r="B225" s="15"/>
      <c r="E225" s="26"/>
      <c r="G225" s="8"/>
      <c r="H225" s="8"/>
    </row>
    <row r="226" spans="2:8" ht="14.25" customHeight="1" x14ac:dyDescent="0.3">
      <c r="B226" s="15"/>
      <c r="E226" s="26"/>
      <c r="G226" s="8"/>
      <c r="H226" s="8"/>
    </row>
    <row r="227" spans="2:8" ht="14.25" customHeight="1" x14ac:dyDescent="0.3">
      <c r="B227" s="15"/>
      <c r="E227" s="26"/>
      <c r="G227" s="8"/>
      <c r="H227" s="8"/>
    </row>
    <row r="228" spans="2:8" ht="14.25" customHeight="1" x14ac:dyDescent="0.3">
      <c r="B228" s="15"/>
      <c r="E228" s="26"/>
      <c r="G228" s="8"/>
      <c r="H228" s="8"/>
    </row>
    <row r="229" spans="2:8" ht="14.25" customHeight="1" x14ac:dyDescent="0.3">
      <c r="B229" s="15"/>
      <c r="E229" s="26"/>
      <c r="G229" s="8"/>
      <c r="H229" s="8"/>
    </row>
    <row r="230" spans="2:8" ht="14.25" customHeight="1" x14ac:dyDescent="0.3">
      <c r="B230" s="15"/>
      <c r="E230" s="26"/>
      <c r="G230" s="8"/>
      <c r="H230" s="8"/>
    </row>
    <row r="231" spans="2:8" ht="14.25" customHeight="1" x14ac:dyDescent="0.3">
      <c r="B231" s="15"/>
      <c r="E231" s="26"/>
      <c r="G231" s="8"/>
      <c r="H231" s="8"/>
    </row>
    <row r="232" spans="2:8" ht="14.25" customHeight="1" x14ac:dyDescent="0.3">
      <c r="B232" s="15"/>
      <c r="E232" s="26"/>
      <c r="G232" s="8"/>
      <c r="H232" s="8"/>
    </row>
    <row r="233" spans="2:8" ht="14.25" customHeight="1" x14ac:dyDescent="0.3">
      <c r="B233" s="15"/>
      <c r="E233" s="26"/>
      <c r="G233" s="8"/>
      <c r="H233" s="8"/>
    </row>
    <row r="234" spans="2:8" ht="14.25" customHeight="1" x14ac:dyDescent="0.3">
      <c r="B234" s="15"/>
      <c r="E234" s="26"/>
      <c r="G234" s="8"/>
      <c r="H234" s="8"/>
    </row>
    <row r="235" spans="2:8" ht="14.25" customHeight="1" x14ac:dyDescent="0.3">
      <c r="B235" s="15"/>
      <c r="E235" s="26"/>
      <c r="G235" s="8"/>
      <c r="H235" s="8"/>
    </row>
    <row r="236" spans="2:8" ht="14.25" customHeight="1" x14ac:dyDescent="0.3">
      <c r="B236" s="15"/>
      <c r="E236" s="26"/>
      <c r="G236" s="8"/>
      <c r="H236" s="8"/>
    </row>
    <row r="237" spans="2:8" ht="14.25" customHeight="1" x14ac:dyDescent="0.3">
      <c r="B237" s="15"/>
      <c r="E237" s="26"/>
      <c r="G237" s="8"/>
      <c r="H237" s="8"/>
    </row>
    <row r="238" spans="2:8" ht="14.25" customHeight="1" x14ac:dyDescent="0.3">
      <c r="B238" s="15"/>
      <c r="E238" s="26"/>
      <c r="G238" s="8"/>
      <c r="H238" s="8"/>
    </row>
    <row r="239" spans="2:8" ht="14.25" customHeight="1" x14ac:dyDescent="0.3">
      <c r="B239" s="15"/>
      <c r="E239" s="26"/>
      <c r="G239" s="8"/>
      <c r="H239" s="8"/>
    </row>
    <row r="240" spans="2:8" ht="14.25" customHeight="1" x14ac:dyDescent="0.3">
      <c r="B240" s="15"/>
      <c r="E240" s="26"/>
      <c r="G240" s="8"/>
      <c r="H240" s="8"/>
    </row>
    <row r="241" spans="2:8" ht="14.25" customHeight="1" x14ac:dyDescent="0.3">
      <c r="B241" s="15"/>
      <c r="E241" s="26"/>
      <c r="G241" s="8"/>
      <c r="H241" s="8"/>
    </row>
    <row r="242" spans="2:8" ht="14.25" customHeight="1" x14ac:dyDescent="0.3">
      <c r="B242" s="15"/>
      <c r="E242" s="26"/>
      <c r="G242" s="8"/>
      <c r="H242" s="8"/>
    </row>
    <row r="243" spans="2:8" ht="14.25" customHeight="1" x14ac:dyDescent="0.3">
      <c r="B243" s="15"/>
      <c r="E243" s="26"/>
      <c r="G243" s="8"/>
      <c r="H243" s="8"/>
    </row>
    <row r="244" spans="2:8" ht="14.25" customHeight="1" x14ac:dyDescent="0.3">
      <c r="B244" s="15"/>
      <c r="E244" s="26"/>
      <c r="G244" s="8"/>
      <c r="H244" s="8"/>
    </row>
    <row r="245" spans="2:8" ht="14.25" customHeight="1" x14ac:dyDescent="0.3">
      <c r="B245" s="15"/>
      <c r="E245" s="26"/>
      <c r="G245" s="8"/>
      <c r="H245" s="8"/>
    </row>
    <row r="246" spans="2:8" ht="14.25" customHeight="1" x14ac:dyDescent="0.3">
      <c r="B246" s="15"/>
      <c r="E246" s="26"/>
      <c r="G246" s="8"/>
      <c r="H246" s="8"/>
    </row>
    <row r="247" spans="2:8" ht="14.25" customHeight="1" x14ac:dyDescent="0.3">
      <c r="B247" s="15"/>
      <c r="E247" s="26"/>
      <c r="G247" s="8"/>
      <c r="H247" s="8"/>
    </row>
    <row r="248" spans="2:8" ht="14.25" customHeight="1" x14ac:dyDescent="0.3">
      <c r="B248" s="15"/>
      <c r="E248" s="26"/>
      <c r="G248" s="8"/>
      <c r="H248" s="8"/>
    </row>
    <row r="249" spans="2:8" ht="14.25" customHeight="1" x14ac:dyDescent="0.3">
      <c r="B249" s="15"/>
      <c r="E249" s="26"/>
      <c r="G249" s="8"/>
      <c r="H249" s="8"/>
    </row>
    <row r="250" spans="2:8" ht="14.25" customHeight="1" x14ac:dyDescent="0.3">
      <c r="B250" s="15"/>
      <c r="E250" s="26"/>
      <c r="G250" s="8"/>
      <c r="H250" s="8"/>
    </row>
    <row r="251" spans="2:8" ht="14.25" customHeight="1" x14ac:dyDescent="0.3">
      <c r="B251" s="15"/>
      <c r="E251" s="26"/>
      <c r="G251" s="8"/>
      <c r="H251" s="8"/>
    </row>
    <row r="252" spans="2:8" ht="14.25" customHeight="1" x14ac:dyDescent="0.3">
      <c r="B252" s="15"/>
      <c r="E252" s="26"/>
      <c r="G252" s="8"/>
      <c r="H252" s="8"/>
    </row>
    <row r="253" spans="2:8" ht="14.25" customHeight="1" x14ac:dyDescent="0.3">
      <c r="B253" s="15"/>
      <c r="E253" s="26"/>
      <c r="G253" s="8"/>
      <c r="H253" s="8"/>
    </row>
    <row r="254" spans="2:8" ht="14.25" customHeight="1" x14ac:dyDescent="0.3">
      <c r="B254" s="15"/>
      <c r="E254" s="26"/>
      <c r="G254" s="8"/>
      <c r="H254" s="8"/>
    </row>
    <row r="255" spans="2:8" ht="14.25" customHeight="1" x14ac:dyDescent="0.3">
      <c r="B255" s="15"/>
      <c r="E255" s="26"/>
      <c r="G255" s="8"/>
      <c r="H255" s="8"/>
    </row>
    <row r="256" spans="2:8" ht="14.25" customHeight="1" x14ac:dyDescent="0.3">
      <c r="B256" s="15"/>
      <c r="E256" s="26"/>
      <c r="G256" s="8"/>
      <c r="H256" s="8"/>
    </row>
    <row r="257" spans="2:8" ht="14.25" customHeight="1" x14ac:dyDescent="0.3">
      <c r="B257" s="15"/>
      <c r="E257" s="26"/>
      <c r="G257" s="8"/>
      <c r="H257" s="8"/>
    </row>
    <row r="258" spans="2:8" ht="14.25" customHeight="1" x14ac:dyDescent="0.3">
      <c r="B258" s="15"/>
      <c r="E258" s="26"/>
      <c r="G258" s="8"/>
      <c r="H258" s="8"/>
    </row>
    <row r="259" spans="2:8" ht="14.25" customHeight="1" x14ac:dyDescent="0.3">
      <c r="B259" s="15"/>
      <c r="E259" s="26"/>
      <c r="G259" s="8"/>
      <c r="H259" s="8"/>
    </row>
    <row r="260" spans="2:8" ht="14.25" customHeight="1" x14ac:dyDescent="0.3">
      <c r="B260" s="15"/>
      <c r="E260" s="26"/>
      <c r="G260" s="8"/>
      <c r="H260" s="8"/>
    </row>
    <row r="261" spans="2:8" ht="14.25" customHeight="1" x14ac:dyDescent="0.3">
      <c r="B261" s="15"/>
      <c r="E261" s="26"/>
      <c r="G261" s="8"/>
      <c r="H261" s="8"/>
    </row>
    <row r="262" spans="2:8" ht="14.25" customHeight="1" x14ac:dyDescent="0.3">
      <c r="B262" s="15"/>
      <c r="E262" s="26"/>
      <c r="G262" s="8"/>
      <c r="H262" s="8"/>
    </row>
    <row r="263" spans="2:8" ht="14.25" customHeight="1" x14ac:dyDescent="0.3">
      <c r="B263" s="15"/>
      <c r="E263" s="26"/>
      <c r="G263" s="8"/>
      <c r="H263" s="8"/>
    </row>
    <row r="264" spans="2:8" ht="14.25" customHeight="1" x14ac:dyDescent="0.3">
      <c r="B264" s="15"/>
      <c r="E264" s="26"/>
      <c r="G264" s="8"/>
      <c r="H264" s="8"/>
    </row>
    <row r="265" spans="2:8" ht="14.25" customHeight="1" x14ac:dyDescent="0.3">
      <c r="B265" s="15"/>
      <c r="E265" s="26"/>
      <c r="G265" s="8"/>
      <c r="H265" s="8"/>
    </row>
    <row r="266" spans="2:8" ht="14.25" customHeight="1" x14ac:dyDescent="0.3">
      <c r="B266" s="15"/>
      <c r="E266" s="26"/>
      <c r="G266" s="8"/>
      <c r="H266" s="8"/>
    </row>
    <row r="267" spans="2:8" ht="14.25" customHeight="1" x14ac:dyDescent="0.3">
      <c r="B267" s="15"/>
      <c r="E267" s="26"/>
      <c r="G267" s="8"/>
      <c r="H267" s="8"/>
    </row>
    <row r="268" spans="2:8" ht="14.25" customHeight="1" x14ac:dyDescent="0.3">
      <c r="B268" s="15"/>
      <c r="E268" s="26"/>
      <c r="G268" s="8"/>
      <c r="H268" s="8"/>
    </row>
    <row r="269" spans="2:8" ht="14.25" customHeight="1" x14ac:dyDescent="0.3">
      <c r="B269" s="15"/>
      <c r="E269" s="26"/>
      <c r="G269" s="8"/>
      <c r="H269" s="8"/>
    </row>
    <row r="270" spans="2:8" ht="14.25" customHeight="1" x14ac:dyDescent="0.3">
      <c r="B270" s="15"/>
      <c r="E270" s="26"/>
      <c r="G270" s="8"/>
      <c r="H270" s="8"/>
    </row>
    <row r="271" spans="2:8" ht="14.25" customHeight="1" x14ac:dyDescent="0.3">
      <c r="B271" s="15"/>
      <c r="E271" s="26"/>
      <c r="G271" s="8"/>
      <c r="H271" s="8"/>
    </row>
    <row r="272" spans="2:8" ht="14.25" customHeight="1" x14ac:dyDescent="0.3">
      <c r="B272" s="15"/>
      <c r="E272" s="26"/>
      <c r="G272" s="8"/>
      <c r="H272" s="8"/>
    </row>
    <row r="273" spans="2:8" ht="14.25" customHeight="1" x14ac:dyDescent="0.3">
      <c r="B273" s="15"/>
      <c r="E273" s="26"/>
      <c r="G273" s="8"/>
      <c r="H273" s="8"/>
    </row>
    <row r="274" spans="2:8" ht="14.25" customHeight="1" x14ac:dyDescent="0.3">
      <c r="B274" s="15"/>
      <c r="E274" s="26"/>
      <c r="G274" s="8"/>
      <c r="H274" s="8"/>
    </row>
    <row r="275" spans="2:8" ht="14.25" customHeight="1" x14ac:dyDescent="0.3">
      <c r="B275" s="15"/>
      <c r="E275" s="26"/>
      <c r="G275" s="8"/>
      <c r="H275" s="8"/>
    </row>
    <row r="276" spans="2:8" ht="14.25" customHeight="1" x14ac:dyDescent="0.3">
      <c r="B276" s="15"/>
      <c r="E276" s="26"/>
      <c r="G276" s="8"/>
      <c r="H276" s="8"/>
    </row>
    <row r="277" spans="2:8" ht="14.25" customHeight="1" x14ac:dyDescent="0.3">
      <c r="B277" s="15"/>
      <c r="E277" s="26"/>
      <c r="G277" s="8"/>
      <c r="H277" s="8"/>
    </row>
    <row r="278" spans="2:8" ht="14.25" customHeight="1" x14ac:dyDescent="0.3">
      <c r="B278" s="15"/>
      <c r="E278" s="26"/>
      <c r="G278" s="8"/>
      <c r="H278" s="8"/>
    </row>
    <row r="279" spans="2:8" ht="14.25" customHeight="1" x14ac:dyDescent="0.3">
      <c r="B279" s="15"/>
      <c r="E279" s="26"/>
      <c r="G279" s="8"/>
      <c r="H279" s="8"/>
    </row>
    <row r="280" spans="2:8" ht="14.25" customHeight="1" x14ac:dyDescent="0.3">
      <c r="B280" s="15"/>
      <c r="E280" s="26"/>
      <c r="G280" s="8"/>
      <c r="H280" s="8"/>
    </row>
    <row r="281" spans="2:8" ht="14.25" customHeight="1" x14ac:dyDescent="0.3">
      <c r="B281" s="15"/>
      <c r="E281" s="26"/>
      <c r="G281" s="8"/>
      <c r="H281" s="8"/>
    </row>
    <row r="282" spans="2:8" ht="14.25" customHeight="1" x14ac:dyDescent="0.3">
      <c r="B282" s="15"/>
      <c r="E282" s="26"/>
      <c r="G282" s="8"/>
      <c r="H282" s="8"/>
    </row>
    <row r="283" spans="2:8" ht="14.25" customHeight="1" x14ac:dyDescent="0.3">
      <c r="B283" s="15"/>
      <c r="E283" s="26"/>
      <c r="G283" s="8"/>
      <c r="H283" s="8"/>
    </row>
    <row r="284" spans="2:8" ht="14.25" customHeight="1" x14ac:dyDescent="0.3">
      <c r="B284" s="15"/>
      <c r="E284" s="26"/>
      <c r="G284" s="8"/>
      <c r="H284" s="8"/>
    </row>
    <row r="285" spans="2:8" ht="14.25" customHeight="1" x14ac:dyDescent="0.3">
      <c r="B285" s="15"/>
      <c r="E285" s="26"/>
      <c r="G285" s="8"/>
      <c r="H285" s="8"/>
    </row>
    <row r="286" spans="2:8" ht="14.25" customHeight="1" x14ac:dyDescent="0.3">
      <c r="B286" s="15"/>
      <c r="E286" s="26"/>
      <c r="G286" s="8"/>
      <c r="H286" s="8"/>
    </row>
    <row r="287" spans="2:8" ht="14.25" customHeight="1" x14ac:dyDescent="0.3">
      <c r="B287" s="15"/>
      <c r="E287" s="26"/>
      <c r="G287" s="8"/>
      <c r="H287" s="8"/>
    </row>
    <row r="288" spans="2:8" ht="14.25" customHeight="1" x14ac:dyDescent="0.3">
      <c r="B288" s="15"/>
      <c r="E288" s="26"/>
      <c r="G288" s="8"/>
      <c r="H288" s="8"/>
    </row>
    <row r="289" spans="2:8" ht="14.25" customHeight="1" x14ac:dyDescent="0.3">
      <c r="B289" s="15"/>
      <c r="E289" s="26"/>
      <c r="G289" s="8"/>
      <c r="H289" s="8"/>
    </row>
    <row r="290" spans="2:8" ht="14.25" customHeight="1" x14ac:dyDescent="0.3">
      <c r="B290" s="15"/>
      <c r="E290" s="26"/>
      <c r="G290" s="8"/>
      <c r="H290" s="8"/>
    </row>
    <row r="291" spans="2:8" ht="14.25" customHeight="1" x14ac:dyDescent="0.3">
      <c r="B291" s="15"/>
      <c r="E291" s="26"/>
      <c r="G291" s="8"/>
      <c r="H291" s="8"/>
    </row>
    <row r="292" spans="2:8" ht="14.25" customHeight="1" x14ac:dyDescent="0.3">
      <c r="B292" s="15"/>
      <c r="E292" s="26"/>
      <c r="G292" s="8"/>
      <c r="H292" s="8"/>
    </row>
    <row r="293" spans="2:8" ht="14.25" customHeight="1" x14ac:dyDescent="0.3">
      <c r="B293" s="15"/>
      <c r="E293" s="26"/>
      <c r="G293" s="8"/>
      <c r="H293" s="8"/>
    </row>
    <row r="294" spans="2:8" ht="14.25" customHeight="1" x14ac:dyDescent="0.3">
      <c r="B294" s="15"/>
      <c r="E294" s="26"/>
      <c r="G294" s="8"/>
      <c r="H294" s="8"/>
    </row>
    <row r="295" spans="2:8" ht="14.25" customHeight="1" x14ac:dyDescent="0.3">
      <c r="B295" s="15"/>
      <c r="E295" s="26"/>
      <c r="G295" s="8"/>
      <c r="H295" s="8"/>
    </row>
    <row r="296" spans="2:8" ht="14.25" customHeight="1" x14ac:dyDescent="0.3">
      <c r="B296" s="15"/>
      <c r="E296" s="26"/>
      <c r="G296" s="8"/>
      <c r="H296" s="8"/>
    </row>
    <row r="297" spans="2:8" ht="14.25" customHeight="1" x14ac:dyDescent="0.3">
      <c r="B297" s="15"/>
      <c r="E297" s="26"/>
      <c r="G297" s="8"/>
      <c r="H297" s="8"/>
    </row>
    <row r="298" spans="2:8" ht="14.25" customHeight="1" x14ac:dyDescent="0.3">
      <c r="B298" s="15"/>
      <c r="E298" s="26"/>
      <c r="G298" s="8"/>
      <c r="H298" s="8"/>
    </row>
    <row r="299" spans="2:8" ht="14.25" customHeight="1" x14ac:dyDescent="0.3">
      <c r="B299" s="15"/>
      <c r="E299" s="26"/>
      <c r="G299" s="8"/>
      <c r="H299" s="8"/>
    </row>
    <row r="300" spans="2:8" ht="14.25" customHeight="1" x14ac:dyDescent="0.3">
      <c r="B300" s="15"/>
      <c r="E300" s="26"/>
      <c r="G300" s="8"/>
      <c r="H300" s="8"/>
    </row>
    <row r="301" spans="2:8" ht="14.25" customHeight="1" x14ac:dyDescent="0.3">
      <c r="B301" s="15"/>
      <c r="E301" s="26"/>
      <c r="G301" s="8"/>
      <c r="H301" s="8"/>
    </row>
    <row r="302" spans="2:8" ht="14.25" customHeight="1" x14ac:dyDescent="0.3">
      <c r="B302" s="15"/>
      <c r="E302" s="26"/>
      <c r="G302" s="8"/>
      <c r="H302" s="8"/>
    </row>
    <row r="303" spans="2:8" ht="14.25" customHeight="1" x14ac:dyDescent="0.3">
      <c r="B303" s="15"/>
      <c r="E303" s="26"/>
      <c r="G303" s="8"/>
      <c r="H303" s="8"/>
    </row>
    <row r="304" spans="2:8" ht="14.25" customHeight="1" x14ac:dyDescent="0.3">
      <c r="B304" s="15"/>
      <c r="E304" s="26"/>
      <c r="G304" s="8"/>
      <c r="H304" s="8"/>
    </row>
    <row r="305" spans="2:8" ht="14.25" customHeight="1" x14ac:dyDescent="0.3">
      <c r="B305" s="15"/>
      <c r="E305" s="26"/>
      <c r="G305" s="8"/>
      <c r="H305" s="8"/>
    </row>
    <row r="306" spans="2:8" ht="14.25" customHeight="1" x14ac:dyDescent="0.3">
      <c r="B306" s="15"/>
      <c r="E306" s="26"/>
      <c r="G306" s="8"/>
      <c r="H306" s="8"/>
    </row>
    <row r="307" spans="2:8" ht="14.25" customHeight="1" x14ac:dyDescent="0.3">
      <c r="B307" s="15"/>
      <c r="E307" s="26"/>
      <c r="G307" s="8"/>
      <c r="H307" s="8"/>
    </row>
    <row r="308" spans="2:8" ht="14.25" customHeight="1" x14ac:dyDescent="0.3">
      <c r="B308" s="15"/>
      <c r="E308" s="26"/>
      <c r="G308" s="8"/>
      <c r="H308" s="8"/>
    </row>
    <row r="309" spans="2:8" ht="14.25" customHeight="1" x14ac:dyDescent="0.3">
      <c r="B309" s="15"/>
      <c r="E309" s="26"/>
      <c r="G309" s="8"/>
      <c r="H309" s="8"/>
    </row>
    <row r="310" spans="2:8" ht="14.25" customHeight="1" x14ac:dyDescent="0.3">
      <c r="B310" s="15"/>
      <c r="E310" s="26"/>
      <c r="G310" s="8"/>
      <c r="H310" s="8"/>
    </row>
    <row r="311" spans="2:8" ht="14.25" customHeight="1" x14ac:dyDescent="0.3">
      <c r="B311" s="15"/>
      <c r="E311" s="26"/>
      <c r="G311" s="8"/>
      <c r="H311" s="8"/>
    </row>
    <row r="312" spans="2:8" ht="14.25" customHeight="1" x14ac:dyDescent="0.3">
      <c r="B312" s="15"/>
      <c r="E312" s="26"/>
      <c r="G312" s="8"/>
      <c r="H312" s="8"/>
    </row>
    <row r="313" spans="2:8" ht="14.25" customHeight="1" x14ac:dyDescent="0.3">
      <c r="B313" s="15"/>
      <c r="E313" s="26"/>
      <c r="G313" s="8"/>
      <c r="H313" s="8"/>
    </row>
    <row r="314" spans="2:8" ht="14.25" customHeight="1" x14ac:dyDescent="0.3">
      <c r="B314" s="15"/>
      <c r="E314" s="26"/>
      <c r="G314" s="8"/>
      <c r="H314" s="8"/>
    </row>
    <row r="315" spans="2:8" ht="14.25" customHeight="1" x14ac:dyDescent="0.3">
      <c r="B315" s="15"/>
      <c r="E315" s="26"/>
      <c r="G315" s="8"/>
      <c r="H315" s="8"/>
    </row>
    <row r="316" spans="2:8" ht="14.25" customHeight="1" x14ac:dyDescent="0.3">
      <c r="B316" s="15"/>
      <c r="E316" s="26"/>
      <c r="G316" s="8"/>
      <c r="H316" s="8"/>
    </row>
    <row r="317" spans="2:8" ht="14.25" customHeight="1" x14ac:dyDescent="0.3">
      <c r="B317" s="15"/>
      <c r="E317" s="26"/>
      <c r="G317" s="8"/>
      <c r="H317" s="8"/>
    </row>
    <row r="318" spans="2:8" ht="14.25" customHeight="1" x14ac:dyDescent="0.3">
      <c r="B318" s="15"/>
      <c r="E318" s="26"/>
      <c r="G318" s="8"/>
      <c r="H318" s="8"/>
    </row>
    <row r="319" spans="2:8" ht="14.25" customHeight="1" x14ac:dyDescent="0.3">
      <c r="B319" s="15"/>
      <c r="E319" s="26"/>
      <c r="G319" s="8"/>
      <c r="H319" s="8"/>
    </row>
    <row r="320" spans="2:8" ht="14.25" customHeight="1" x14ac:dyDescent="0.3">
      <c r="B320" s="15"/>
      <c r="E320" s="26"/>
      <c r="G320" s="8"/>
      <c r="H320" s="8"/>
    </row>
    <row r="321" spans="2:8" ht="14.25" customHeight="1" x14ac:dyDescent="0.3">
      <c r="B321" s="15"/>
      <c r="E321" s="26"/>
      <c r="G321" s="8"/>
      <c r="H321" s="8"/>
    </row>
    <row r="322" spans="2:8" ht="14.25" customHeight="1" x14ac:dyDescent="0.3">
      <c r="B322" s="15"/>
      <c r="E322" s="26"/>
      <c r="G322" s="8"/>
      <c r="H322" s="8"/>
    </row>
    <row r="323" spans="2:8" ht="14.25" customHeight="1" x14ac:dyDescent="0.3">
      <c r="B323" s="15"/>
      <c r="E323" s="26"/>
      <c r="G323" s="8"/>
      <c r="H323" s="8"/>
    </row>
    <row r="324" spans="2:8" ht="14.25" customHeight="1" x14ac:dyDescent="0.3">
      <c r="B324" s="15"/>
      <c r="E324" s="26"/>
      <c r="G324" s="8"/>
      <c r="H324" s="8"/>
    </row>
    <row r="325" spans="2:8" ht="14.25" customHeight="1" x14ac:dyDescent="0.3">
      <c r="B325" s="15"/>
      <c r="E325" s="26"/>
      <c r="G325" s="8"/>
      <c r="H325" s="8"/>
    </row>
    <row r="326" spans="2:8" ht="14.25" customHeight="1" x14ac:dyDescent="0.3">
      <c r="B326" s="15"/>
      <c r="E326" s="26"/>
      <c r="G326" s="8"/>
      <c r="H326" s="8"/>
    </row>
    <row r="327" spans="2:8" ht="14.25" customHeight="1" x14ac:dyDescent="0.3">
      <c r="B327" s="15"/>
      <c r="E327" s="26"/>
      <c r="G327" s="8"/>
      <c r="H327" s="8"/>
    </row>
    <row r="328" spans="2:8" ht="14.25" customHeight="1" x14ac:dyDescent="0.3">
      <c r="B328" s="15"/>
      <c r="E328" s="26"/>
      <c r="G328" s="8"/>
      <c r="H328" s="8"/>
    </row>
    <row r="329" spans="2:8" ht="14.25" customHeight="1" x14ac:dyDescent="0.3">
      <c r="B329" s="15"/>
      <c r="E329" s="26"/>
      <c r="G329" s="8"/>
      <c r="H329" s="8"/>
    </row>
    <row r="330" spans="2:8" ht="14.25" customHeight="1" x14ac:dyDescent="0.3">
      <c r="B330" s="15"/>
      <c r="E330" s="26"/>
      <c r="G330" s="8"/>
      <c r="H330" s="8"/>
    </row>
    <row r="331" spans="2:8" ht="14.25" customHeight="1" x14ac:dyDescent="0.3">
      <c r="B331" s="15"/>
      <c r="E331" s="26"/>
      <c r="G331" s="8"/>
      <c r="H331" s="8"/>
    </row>
    <row r="332" spans="2:8" ht="14.25" customHeight="1" x14ac:dyDescent="0.3">
      <c r="B332" s="15"/>
      <c r="E332" s="26"/>
      <c r="G332" s="8"/>
      <c r="H332" s="8"/>
    </row>
    <row r="333" spans="2:8" ht="14.25" customHeight="1" x14ac:dyDescent="0.3">
      <c r="B333" s="15"/>
      <c r="E333" s="26"/>
      <c r="G333" s="8"/>
      <c r="H333" s="8"/>
    </row>
    <row r="334" spans="2:8" ht="14.25" customHeight="1" x14ac:dyDescent="0.3">
      <c r="B334" s="15"/>
      <c r="E334" s="26"/>
      <c r="G334" s="8"/>
      <c r="H334" s="8"/>
    </row>
    <row r="335" spans="2:8" ht="14.25" customHeight="1" x14ac:dyDescent="0.3">
      <c r="B335" s="15"/>
      <c r="E335" s="26"/>
      <c r="G335" s="8"/>
      <c r="H335" s="8"/>
    </row>
    <row r="336" spans="2:8" ht="14.25" customHeight="1" x14ac:dyDescent="0.3">
      <c r="B336" s="15"/>
      <c r="E336" s="26"/>
      <c r="G336" s="8"/>
      <c r="H336" s="8"/>
    </row>
    <row r="337" spans="2:8" ht="14.25" customHeight="1" x14ac:dyDescent="0.3">
      <c r="B337" s="15"/>
      <c r="E337" s="26"/>
      <c r="G337" s="8"/>
      <c r="H337" s="8"/>
    </row>
    <row r="338" spans="2:8" ht="14.25" customHeight="1" x14ac:dyDescent="0.3">
      <c r="B338" s="15"/>
      <c r="E338" s="26"/>
      <c r="G338" s="8"/>
      <c r="H338" s="8"/>
    </row>
    <row r="339" spans="2:8" ht="14.25" customHeight="1" x14ac:dyDescent="0.3">
      <c r="B339" s="15"/>
      <c r="E339" s="26"/>
      <c r="G339" s="8"/>
      <c r="H339" s="8"/>
    </row>
    <row r="340" spans="2:8" ht="14.25" customHeight="1" x14ac:dyDescent="0.3">
      <c r="B340" s="15"/>
      <c r="E340" s="26"/>
      <c r="G340" s="8"/>
      <c r="H340" s="8"/>
    </row>
    <row r="341" spans="2:8" ht="14.25" customHeight="1" x14ac:dyDescent="0.3">
      <c r="B341" s="15"/>
      <c r="E341" s="26"/>
      <c r="G341" s="8"/>
      <c r="H341" s="8"/>
    </row>
    <row r="342" spans="2:8" ht="14.25" customHeight="1" x14ac:dyDescent="0.3">
      <c r="B342" s="15"/>
      <c r="E342" s="26"/>
      <c r="G342" s="8"/>
      <c r="H342" s="8"/>
    </row>
    <row r="343" spans="2:8" ht="14.25" customHeight="1" x14ac:dyDescent="0.3">
      <c r="B343" s="15"/>
      <c r="E343" s="26"/>
      <c r="G343" s="8"/>
      <c r="H343" s="8"/>
    </row>
    <row r="344" spans="2:8" ht="14.25" customHeight="1" x14ac:dyDescent="0.3">
      <c r="B344" s="15"/>
      <c r="E344" s="26"/>
      <c r="G344" s="8"/>
      <c r="H344" s="8"/>
    </row>
    <row r="345" spans="2:8" ht="14.25" customHeight="1" x14ac:dyDescent="0.3">
      <c r="B345" s="15"/>
      <c r="E345" s="26"/>
      <c r="G345" s="8"/>
      <c r="H345" s="8"/>
    </row>
    <row r="346" spans="2:8" ht="14.25" customHeight="1" x14ac:dyDescent="0.3">
      <c r="B346" s="15"/>
      <c r="E346" s="26"/>
      <c r="G346" s="8"/>
      <c r="H346" s="8"/>
    </row>
    <row r="347" spans="2:8" ht="14.25" customHeight="1" x14ac:dyDescent="0.3">
      <c r="B347" s="15"/>
      <c r="E347" s="26"/>
      <c r="G347" s="8"/>
      <c r="H347" s="8"/>
    </row>
    <row r="348" spans="2:8" ht="14.25" customHeight="1" x14ac:dyDescent="0.3">
      <c r="B348" s="15"/>
      <c r="E348" s="26"/>
      <c r="G348" s="8"/>
      <c r="H348" s="8"/>
    </row>
    <row r="349" spans="2:8" ht="14.25" customHeight="1" x14ac:dyDescent="0.3">
      <c r="B349" s="15"/>
      <c r="E349" s="26"/>
      <c r="G349" s="8"/>
      <c r="H349" s="8"/>
    </row>
    <row r="350" spans="2:8" ht="14.25" customHeight="1" x14ac:dyDescent="0.3">
      <c r="B350" s="15"/>
      <c r="E350" s="26"/>
      <c r="G350" s="8"/>
      <c r="H350" s="8"/>
    </row>
    <row r="351" spans="2:8" ht="14.25" customHeight="1" x14ac:dyDescent="0.3">
      <c r="B351" s="15"/>
      <c r="E351" s="26"/>
      <c r="G351" s="8"/>
      <c r="H351" s="8"/>
    </row>
    <row r="352" spans="2:8" ht="14.25" customHeight="1" x14ac:dyDescent="0.3">
      <c r="B352" s="15"/>
      <c r="E352" s="26"/>
      <c r="G352" s="8"/>
      <c r="H352" s="8"/>
    </row>
    <row r="353" spans="2:8" ht="14.25" customHeight="1" x14ac:dyDescent="0.3">
      <c r="B353" s="15"/>
      <c r="E353" s="26"/>
      <c r="G353" s="8"/>
      <c r="H353" s="8"/>
    </row>
    <row r="354" spans="2:8" ht="14.25" customHeight="1" x14ac:dyDescent="0.3">
      <c r="B354" s="15"/>
      <c r="E354" s="26"/>
      <c r="G354" s="8"/>
      <c r="H354" s="8"/>
    </row>
    <row r="355" spans="2:8" ht="14.25" customHeight="1" x14ac:dyDescent="0.3">
      <c r="B355" s="15"/>
      <c r="E355" s="26"/>
      <c r="G355" s="8"/>
      <c r="H355" s="8"/>
    </row>
    <row r="356" spans="2:8" ht="14.25" customHeight="1" x14ac:dyDescent="0.3">
      <c r="B356" s="15"/>
      <c r="E356" s="26"/>
      <c r="G356" s="8"/>
      <c r="H356" s="8"/>
    </row>
    <row r="357" spans="2:8" ht="14.25" customHeight="1" x14ac:dyDescent="0.3">
      <c r="B357" s="15"/>
      <c r="E357" s="26"/>
      <c r="G357" s="8"/>
      <c r="H357" s="8"/>
    </row>
    <row r="358" spans="2:8" ht="14.25" customHeight="1" x14ac:dyDescent="0.3">
      <c r="B358" s="15"/>
      <c r="E358" s="26"/>
      <c r="G358" s="8"/>
      <c r="H358" s="8"/>
    </row>
    <row r="359" spans="2:8" ht="14.25" customHeight="1" x14ac:dyDescent="0.3">
      <c r="B359" s="15"/>
      <c r="E359" s="26"/>
      <c r="G359" s="8"/>
      <c r="H359" s="8"/>
    </row>
    <row r="360" spans="2:8" ht="14.25" customHeight="1" x14ac:dyDescent="0.3">
      <c r="B360" s="15"/>
      <c r="E360" s="26"/>
      <c r="G360" s="8"/>
      <c r="H360" s="8"/>
    </row>
    <row r="361" spans="2:8" ht="14.25" customHeight="1" x14ac:dyDescent="0.3">
      <c r="B361" s="15"/>
      <c r="E361" s="26"/>
      <c r="G361" s="8"/>
      <c r="H361" s="8"/>
    </row>
    <row r="362" spans="2:8" ht="14.25" customHeight="1" x14ac:dyDescent="0.3">
      <c r="B362" s="15"/>
      <c r="E362" s="26"/>
      <c r="G362" s="8"/>
      <c r="H362" s="8"/>
    </row>
    <row r="363" spans="2:8" ht="14.25" customHeight="1" x14ac:dyDescent="0.3">
      <c r="B363" s="15"/>
      <c r="E363" s="26"/>
      <c r="G363" s="8"/>
      <c r="H363" s="8"/>
    </row>
    <row r="364" spans="2:8" ht="14.25" customHeight="1" x14ac:dyDescent="0.3">
      <c r="B364" s="15"/>
      <c r="E364" s="26"/>
      <c r="G364" s="8"/>
      <c r="H364" s="8"/>
    </row>
    <row r="365" spans="2:8" ht="14.25" customHeight="1" x14ac:dyDescent="0.3">
      <c r="B365" s="15"/>
      <c r="E365" s="26"/>
      <c r="G365" s="8"/>
      <c r="H365" s="8"/>
    </row>
    <row r="366" spans="2:8" ht="14.25" customHeight="1" x14ac:dyDescent="0.3">
      <c r="B366" s="15"/>
      <c r="E366" s="26"/>
      <c r="G366" s="8"/>
      <c r="H366" s="8"/>
    </row>
    <row r="367" spans="2:8" ht="14.25" customHeight="1" x14ac:dyDescent="0.3">
      <c r="B367" s="15"/>
      <c r="E367" s="26"/>
      <c r="G367" s="8"/>
      <c r="H367" s="8"/>
    </row>
    <row r="368" spans="2:8" ht="14.25" customHeight="1" x14ac:dyDescent="0.3">
      <c r="B368" s="15"/>
      <c r="E368" s="26"/>
      <c r="G368" s="8"/>
      <c r="H368" s="8"/>
    </row>
    <row r="369" spans="2:8" ht="14.25" customHeight="1" x14ac:dyDescent="0.3">
      <c r="B369" s="15"/>
      <c r="E369" s="26"/>
      <c r="G369" s="8"/>
      <c r="H369" s="8"/>
    </row>
    <row r="370" spans="2:8" ht="14.25" customHeight="1" x14ac:dyDescent="0.3">
      <c r="B370" s="15"/>
      <c r="E370" s="26"/>
      <c r="G370" s="8"/>
      <c r="H370" s="8"/>
    </row>
    <row r="371" spans="2:8" ht="14.25" customHeight="1" x14ac:dyDescent="0.3">
      <c r="B371" s="15"/>
      <c r="E371" s="26"/>
      <c r="G371" s="8"/>
      <c r="H371" s="8"/>
    </row>
    <row r="372" spans="2:8" ht="14.25" customHeight="1" x14ac:dyDescent="0.3">
      <c r="B372" s="15"/>
      <c r="E372" s="26"/>
      <c r="G372" s="8"/>
      <c r="H372" s="8"/>
    </row>
    <row r="373" spans="2:8" ht="14.25" customHeight="1" x14ac:dyDescent="0.3">
      <c r="B373" s="15"/>
      <c r="E373" s="26"/>
      <c r="G373" s="8"/>
      <c r="H373" s="8"/>
    </row>
    <row r="374" spans="2:8" ht="14.25" customHeight="1" x14ac:dyDescent="0.3">
      <c r="B374" s="15"/>
      <c r="E374" s="26"/>
      <c r="G374" s="8"/>
      <c r="H374" s="8"/>
    </row>
    <row r="375" spans="2:8" ht="14.25" customHeight="1" x14ac:dyDescent="0.3">
      <c r="B375" s="15"/>
      <c r="E375" s="26"/>
      <c r="G375" s="8"/>
      <c r="H375" s="8"/>
    </row>
    <row r="376" spans="2:8" ht="14.25" customHeight="1" x14ac:dyDescent="0.3">
      <c r="B376" s="15"/>
      <c r="E376" s="26"/>
      <c r="G376" s="8"/>
      <c r="H376" s="8"/>
    </row>
    <row r="377" spans="2:8" ht="14.25" customHeight="1" x14ac:dyDescent="0.3">
      <c r="B377" s="15"/>
      <c r="E377" s="26"/>
      <c r="G377" s="8"/>
      <c r="H377" s="8"/>
    </row>
    <row r="378" spans="2:8" ht="14.25" customHeight="1" x14ac:dyDescent="0.3">
      <c r="B378" s="15"/>
      <c r="E378" s="26"/>
      <c r="G378" s="8"/>
      <c r="H378" s="8"/>
    </row>
    <row r="379" spans="2:8" ht="14.25" customHeight="1" x14ac:dyDescent="0.3">
      <c r="B379" s="15"/>
      <c r="E379" s="26"/>
      <c r="G379" s="8"/>
      <c r="H379" s="8"/>
    </row>
    <row r="380" spans="2:8" ht="14.25" customHeight="1" x14ac:dyDescent="0.3">
      <c r="B380" s="15"/>
      <c r="E380" s="26"/>
      <c r="G380" s="8"/>
      <c r="H380" s="8"/>
    </row>
    <row r="381" spans="2:8" ht="14.25" customHeight="1" x14ac:dyDescent="0.3">
      <c r="B381" s="15"/>
      <c r="E381" s="26"/>
      <c r="G381" s="8"/>
      <c r="H381" s="8"/>
    </row>
    <row r="382" spans="2:8" ht="14.25" customHeight="1" x14ac:dyDescent="0.3">
      <c r="B382" s="15"/>
      <c r="E382" s="26"/>
      <c r="G382" s="8"/>
      <c r="H382" s="8"/>
    </row>
    <row r="383" spans="2:8" ht="14.25" customHeight="1" x14ac:dyDescent="0.3">
      <c r="B383" s="15"/>
      <c r="E383" s="26"/>
      <c r="G383" s="8"/>
      <c r="H383" s="8"/>
    </row>
    <row r="384" spans="2:8" ht="14.25" customHeight="1" x14ac:dyDescent="0.3">
      <c r="B384" s="15"/>
      <c r="E384" s="26"/>
      <c r="G384" s="8"/>
      <c r="H384" s="8"/>
    </row>
    <row r="385" spans="2:8" ht="14.25" customHeight="1" x14ac:dyDescent="0.3">
      <c r="B385" s="15"/>
      <c r="E385" s="26"/>
      <c r="G385" s="8"/>
      <c r="H385" s="8"/>
    </row>
    <row r="386" spans="2:8" ht="14.25" customHeight="1" x14ac:dyDescent="0.3">
      <c r="B386" s="15"/>
      <c r="E386" s="26"/>
      <c r="G386" s="8"/>
      <c r="H386" s="8"/>
    </row>
    <row r="387" spans="2:8" ht="14.25" customHeight="1" x14ac:dyDescent="0.3">
      <c r="B387" s="15"/>
      <c r="E387" s="26"/>
      <c r="G387" s="8"/>
      <c r="H387" s="8"/>
    </row>
    <row r="388" spans="2:8" ht="14.25" customHeight="1" x14ac:dyDescent="0.3">
      <c r="B388" s="15"/>
      <c r="E388" s="26"/>
      <c r="G388" s="8"/>
      <c r="H388" s="8"/>
    </row>
    <row r="389" spans="2:8" ht="14.25" customHeight="1" x14ac:dyDescent="0.3">
      <c r="B389" s="15"/>
      <c r="E389" s="26"/>
      <c r="G389" s="8"/>
      <c r="H389" s="8"/>
    </row>
    <row r="390" spans="2:8" ht="14.25" customHeight="1" x14ac:dyDescent="0.3">
      <c r="B390" s="15"/>
      <c r="E390" s="26"/>
      <c r="G390" s="8"/>
      <c r="H390" s="8"/>
    </row>
    <row r="391" spans="2:8" ht="14.25" customHeight="1" x14ac:dyDescent="0.3">
      <c r="B391" s="15"/>
      <c r="E391" s="26"/>
      <c r="G391" s="8"/>
      <c r="H391" s="8"/>
    </row>
    <row r="392" spans="2:8" ht="14.25" customHeight="1" x14ac:dyDescent="0.3">
      <c r="B392" s="15"/>
      <c r="E392" s="26"/>
      <c r="G392" s="8"/>
      <c r="H392" s="8"/>
    </row>
    <row r="393" spans="2:8" ht="14.25" customHeight="1" x14ac:dyDescent="0.3">
      <c r="B393" s="15"/>
      <c r="E393" s="26"/>
      <c r="G393" s="8"/>
      <c r="H393" s="8"/>
    </row>
    <row r="394" spans="2:8" ht="14.25" customHeight="1" x14ac:dyDescent="0.3">
      <c r="B394" s="15"/>
      <c r="E394" s="26"/>
      <c r="G394" s="8"/>
      <c r="H394" s="8"/>
    </row>
    <row r="395" spans="2:8" ht="14.25" customHeight="1" x14ac:dyDescent="0.3">
      <c r="B395" s="15"/>
      <c r="E395" s="26"/>
      <c r="G395" s="8"/>
      <c r="H395" s="8"/>
    </row>
    <row r="396" spans="2:8" ht="14.25" customHeight="1" x14ac:dyDescent="0.3">
      <c r="B396" s="15"/>
      <c r="E396" s="26"/>
      <c r="G396" s="8"/>
      <c r="H396" s="8"/>
    </row>
    <row r="397" spans="2:8" ht="14.25" customHeight="1" x14ac:dyDescent="0.3">
      <c r="B397" s="15"/>
      <c r="E397" s="26"/>
      <c r="G397" s="8"/>
      <c r="H397" s="8"/>
    </row>
    <row r="398" spans="2:8" ht="14.25" customHeight="1" x14ac:dyDescent="0.3">
      <c r="B398" s="15"/>
      <c r="E398" s="26"/>
      <c r="G398" s="8"/>
      <c r="H398" s="8"/>
    </row>
    <row r="399" spans="2:8" ht="14.25" customHeight="1" x14ac:dyDescent="0.3">
      <c r="B399" s="15"/>
      <c r="E399" s="26"/>
      <c r="G399" s="8"/>
      <c r="H399" s="8"/>
    </row>
    <row r="400" spans="2:8" ht="14.25" customHeight="1" x14ac:dyDescent="0.3">
      <c r="B400" s="15"/>
      <c r="E400" s="26"/>
      <c r="G400" s="8"/>
      <c r="H400" s="8"/>
    </row>
    <row r="401" spans="2:8" ht="14.25" customHeight="1" x14ac:dyDescent="0.3">
      <c r="B401" s="15"/>
      <c r="E401" s="26"/>
      <c r="G401" s="8"/>
      <c r="H401" s="8"/>
    </row>
    <row r="402" spans="2:8" ht="14.25" customHeight="1" x14ac:dyDescent="0.3">
      <c r="B402" s="15"/>
      <c r="E402" s="26"/>
      <c r="G402" s="8"/>
      <c r="H402" s="8"/>
    </row>
    <row r="403" spans="2:8" ht="14.25" customHeight="1" x14ac:dyDescent="0.3">
      <c r="B403" s="15"/>
      <c r="E403" s="26"/>
      <c r="G403" s="8"/>
      <c r="H403" s="8"/>
    </row>
    <row r="404" spans="2:8" ht="14.25" customHeight="1" x14ac:dyDescent="0.3">
      <c r="B404" s="15"/>
      <c r="E404" s="26"/>
      <c r="G404" s="8"/>
      <c r="H404" s="8"/>
    </row>
    <row r="405" spans="2:8" ht="14.25" customHeight="1" x14ac:dyDescent="0.3">
      <c r="B405" s="15"/>
      <c r="E405" s="26"/>
      <c r="G405" s="8"/>
      <c r="H405" s="8"/>
    </row>
    <row r="406" spans="2:8" ht="14.25" customHeight="1" x14ac:dyDescent="0.3">
      <c r="B406" s="15"/>
      <c r="E406" s="26"/>
      <c r="G406" s="8"/>
      <c r="H406" s="8"/>
    </row>
    <row r="407" spans="2:8" ht="14.25" customHeight="1" x14ac:dyDescent="0.3">
      <c r="B407" s="15"/>
      <c r="E407" s="26"/>
      <c r="G407" s="8"/>
      <c r="H407" s="8"/>
    </row>
    <row r="408" spans="2:8" ht="14.25" customHeight="1" x14ac:dyDescent="0.3">
      <c r="B408" s="15"/>
      <c r="E408" s="26"/>
      <c r="G408" s="8"/>
      <c r="H408" s="8"/>
    </row>
    <row r="409" spans="2:8" ht="14.25" customHeight="1" x14ac:dyDescent="0.3">
      <c r="B409" s="15"/>
      <c r="E409" s="26"/>
      <c r="G409" s="8"/>
      <c r="H409" s="8"/>
    </row>
    <row r="410" spans="2:8" ht="14.25" customHeight="1" x14ac:dyDescent="0.3">
      <c r="B410" s="15"/>
      <c r="E410" s="26"/>
      <c r="G410" s="8"/>
      <c r="H410" s="8"/>
    </row>
    <row r="411" spans="2:8" ht="14.25" customHeight="1" x14ac:dyDescent="0.3">
      <c r="B411" s="15"/>
      <c r="E411" s="26"/>
      <c r="G411" s="8"/>
      <c r="H411" s="8"/>
    </row>
    <row r="412" spans="2:8" ht="14.25" customHeight="1" x14ac:dyDescent="0.3">
      <c r="B412" s="15"/>
      <c r="E412" s="26"/>
      <c r="G412" s="8"/>
      <c r="H412" s="8"/>
    </row>
    <row r="413" spans="2:8" ht="14.25" customHeight="1" x14ac:dyDescent="0.3">
      <c r="B413" s="15"/>
      <c r="E413" s="26"/>
      <c r="G413" s="8"/>
      <c r="H413" s="8"/>
    </row>
    <row r="414" spans="2:8" ht="14.25" customHeight="1" x14ac:dyDescent="0.3">
      <c r="B414" s="15"/>
      <c r="E414" s="26"/>
      <c r="G414" s="8"/>
      <c r="H414" s="8"/>
    </row>
    <row r="415" spans="2:8" ht="14.25" customHeight="1" x14ac:dyDescent="0.3">
      <c r="B415" s="15"/>
      <c r="E415" s="26"/>
      <c r="G415" s="8"/>
      <c r="H415" s="8"/>
    </row>
    <row r="416" spans="2:8" ht="14.25" customHeight="1" x14ac:dyDescent="0.3">
      <c r="B416" s="15"/>
      <c r="E416" s="26"/>
      <c r="G416" s="8"/>
      <c r="H416" s="8"/>
    </row>
    <row r="417" spans="2:8" ht="14.25" customHeight="1" x14ac:dyDescent="0.3">
      <c r="B417" s="15"/>
      <c r="E417" s="26"/>
      <c r="G417" s="8"/>
      <c r="H417" s="8"/>
    </row>
    <row r="418" spans="2:8" ht="14.25" customHeight="1" x14ac:dyDescent="0.3">
      <c r="B418" s="15"/>
      <c r="E418" s="26"/>
      <c r="G418" s="8"/>
      <c r="H418" s="8"/>
    </row>
    <row r="419" spans="2:8" ht="14.25" customHeight="1" x14ac:dyDescent="0.3">
      <c r="B419" s="15"/>
      <c r="E419" s="26"/>
      <c r="G419" s="8"/>
      <c r="H419" s="8"/>
    </row>
    <row r="420" spans="2:8" ht="14.25" customHeight="1" x14ac:dyDescent="0.3">
      <c r="B420" s="15"/>
      <c r="E420" s="26"/>
      <c r="G420" s="8"/>
      <c r="H420" s="8"/>
    </row>
    <row r="421" spans="2:8" ht="14.25" customHeight="1" x14ac:dyDescent="0.3">
      <c r="B421" s="15"/>
      <c r="E421" s="26"/>
      <c r="G421" s="8"/>
      <c r="H421" s="8"/>
    </row>
    <row r="422" spans="2:8" ht="14.25" customHeight="1" x14ac:dyDescent="0.3">
      <c r="B422" s="15"/>
      <c r="E422" s="26"/>
      <c r="G422" s="8"/>
      <c r="H422" s="8"/>
    </row>
    <row r="423" spans="2:8" ht="14.25" customHeight="1" x14ac:dyDescent="0.3">
      <c r="B423" s="15"/>
      <c r="E423" s="26"/>
      <c r="G423" s="8"/>
      <c r="H423" s="8"/>
    </row>
    <row r="424" spans="2:8" ht="14.25" customHeight="1" x14ac:dyDescent="0.3">
      <c r="B424" s="15"/>
      <c r="E424" s="26"/>
      <c r="G424" s="8"/>
      <c r="H424" s="8"/>
    </row>
    <row r="425" spans="2:8" ht="14.25" customHeight="1" x14ac:dyDescent="0.3">
      <c r="B425" s="15"/>
      <c r="E425" s="26"/>
      <c r="G425" s="8"/>
      <c r="H425" s="8"/>
    </row>
    <row r="426" spans="2:8" ht="14.25" customHeight="1" x14ac:dyDescent="0.3">
      <c r="B426" s="15"/>
      <c r="E426" s="26"/>
      <c r="G426" s="8"/>
      <c r="H426" s="8"/>
    </row>
    <row r="427" spans="2:8" ht="14.25" customHeight="1" x14ac:dyDescent="0.3">
      <c r="B427" s="15"/>
      <c r="E427" s="26"/>
      <c r="G427" s="8"/>
      <c r="H427" s="8"/>
    </row>
    <row r="428" spans="2:8" ht="14.25" customHeight="1" x14ac:dyDescent="0.3">
      <c r="B428" s="15"/>
      <c r="E428" s="26"/>
      <c r="G428" s="8"/>
      <c r="H428" s="8"/>
    </row>
    <row r="429" spans="2:8" ht="14.25" customHeight="1" x14ac:dyDescent="0.3">
      <c r="B429" s="15"/>
      <c r="E429" s="26"/>
      <c r="G429" s="8"/>
      <c r="H429" s="8"/>
    </row>
    <row r="430" spans="2:8" ht="14.25" customHeight="1" x14ac:dyDescent="0.3">
      <c r="B430" s="15"/>
      <c r="E430" s="26"/>
      <c r="G430" s="8"/>
      <c r="H430" s="8"/>
    </row>
    <row r="431" spans="2:8" ht="14.25" customHeight="1" x14ac:dyDescent="0.3">
      <c r="B431" s="15"/>
      <c r="E431" s="26"/>
      <c r="G431" s="8"/>
      <c r="H431" s="8"/>
    </row>
    <row r="432" spans="2:8" ht="14.25" customHeight="1" x14ac:dyDescent="0.3">
      <c r="B432" s="15"/>
      <c r="E432" s="26"/>
      <c r="G432" s="8"/>
      <c r="H432" s="8"/>
    </row>
    <row r="433" spans="2:8" ht="14.25" customHeight="1" x14ac:dyDescent="0.3">
      <c r="B433" s="15"/>
      <c r="E433" s="26"/>
      <c r="G433" s="8"/>
      <c r="H433" s="8"/>
    </row>
    <row r="434" spans="2:8" ht="14.25" customHeight="1" x14ac:dyDescent="0.3">
      <c r="B434" s="15"/>
      <c r="E434" s="26"/>
      <c r="G434" s="8"/>
      <c r="H434" s="8"/>
    </row>
    <row r="435" spans="2:8" ht="14.25" customHeight="1" x14ac:dyDescent="0.3">
      <c r="B435" s="15"/>
      <c r="E435" s="26"/>
      <c r="G435" s="8"/>
      <c r="H435" s="8"/>
    </row>
    <row r="436" spans="2:8" ht="14.25" customHeight="1" x14ac:dyDescent="0.3">
      <c r="B436" s="15"/>
      <c r="E436" s="26"/>
      <c r="G436" s="8"/>
      <c r="H436" s="8"/>
    </row>
    <row r="437" spans="2:8" ht="14.25" customHeight="1" x14ac:dyDescent="0.3">
      <c r="B437" s="15"/>
      <c r="E437" s="26"/>
      <c r="G437" s="8"/>
      <c r="H437" s="8"/>
    </row>
    <row r="438" spans="2:8" ht="14.25" customHeight="1" x14ac:dyDescent="0.3">
      <c r="B438" s="15"/>
      <c r="E438" s="26"/>
      <c r="G438" s="8"/>
      <c r="H438" s="8"/>
    </row>
    <row r="439" spans="2:8" ht="14.25" customHeight="1" x14ac:dyDescent="0.3">
      <c r="B439" s="15"/>
      <c r="E439" s="26"/>
      <c r="G439" s="8"/>
      <c r="H439" s="8"/>
    </row>
    <row r="440" spans="2:8" ht="14.25" customHeight="1" x14ac:dyDescent="0.3">
      <c r="B440" s="15"/>
      <c r="E440" s="26"/>
      <c r="G440" s="8"/>
      <c r="H440" s="8"/>
    </row>
    <row r="441" spans="2:8" ht="14.25" customHeight="1" x14ac:dyDescent="0.3">
      <c r="B441" s="15"/>
      <c r="E441" s="26"/>
      <c r="G441" s="8"/>
      <c r="H441" s="8"/>
    </row>
    <row r="442" spans="2:8" ht="14.25" customHeight="1" x14ac:dyDescent="0.3">
      <c r="B442" s="15"/>
      <c r="E442" s="26"/>
      <c r="G442" s="8"/>
      <c r="H442" s="8"/>
    </row>
    <row r="443" spans="2:8" ht="14.25" customHeight="1" x14ac:dyDescent="0.3">
      <c r="B443" s="15"/>
      <c r="E443" s="26"/>
      <c r="G443" s="8"/>
      <c r="H443" s="8"/>
    </row>
    <row r="444" spans="2:8" ht="14.25" customHeight="1" x14ac:dyDescent="0.3">
      <c r="B444" s="15"/>
      <c r="E444" s="26"/>
      <c r="G444" s="8"/>
      <c r="H444" s="8"/>
    </row>
    <row r="445" spans="2:8" ht="14.25" customHeight="1" x14ac:dyDescent="0.3">
      <c r="B445" s="15"/>
      <c r="E445" s="26"/>
      <c r="G445" s="8"/>
      <c r="H445" s="8"/>
    </row>
    <row r="446" spans="2:8" ht="14.25" customHeight="1" x14ac:dyDescent="0.3">
      <c r="B446" s="15"/>
      <c r="E446" s="26"/>
      <c r="G446" s="8"/>
      <c r="H446" s="8"/>
    </row>
    <row r="447" spans="2:8" ht="14.25" customHeight="1" x14ac:dyDescent="0.3">
      <c r="B447" s="15"/>
      <c r="E447" s="26"/>
      <c r="G447" s="8"/>
      <c r="H447" s="8"/>
    </row>
    <row r="448" spans="2:8" ht="14.25" customHeight="1" x14ac:dyDescent="0.3">
      <c r="B448" s="15"/>
      <c r="E448" s="26"/>
      <c r="G448" s="8"/>
      <c r="H448" s="8"/>
    </row>
    <row r="449" spans="2:8" ht="14.25" customHeight="1" x14ac:dyDescent="0.3">
      <c r="B449" s="15"/>
      <c r="E449" s="26"/>
      <c r="G449" s="8"/>
      <c r="H449" s="8"/>
    </row>
    <row r="450" spans="2:8" ht="14.25" customHeight="1" x14ac:dyDescent="0.3">
      <c r="B450" s="15"/>
      <c r="E450" s="26"/>
      <c r="G450" s="8"/>
      <c r="H450" s="8"/>
    </row>
    <row r="451" spans="2:8" ht="14.25" customHeight="1" x14ac:dyDescent="0.3">
      <c r="B451" s="15"/>
      <c r="E451" s="26"/>
      <c r="G451" s="8"/>
      <c r="H451" s="8"/>
    </row>
    <row r="452" spans="2:8" ht="14.25" customHeight="1" x14ac:dyDescent="0.3">
      <c r="B452" s="15"/>
      <c r="E452" s="26"/>
      <c r="G452" s="8"/>
      <c r="H452" s="8"/>
    </row>
    <row r="453" spans="2:8" ht="14.25" customHeight="1" x14ac:dyDescent="0.3">
      <c r="B453" s="15"/>
      <c r="E453" s="26"/>
      <c r="G453" s="8"/>
      <c r="H453" s="8"/>
    </row>
    <row r="454" spans="2:8" ht="14.25" customHeight="1" x14ac:dyDescent="0.3">
      <c r="B454" s="15"/>
      <c r="E454" s="26"/>
      <c r="G454" s="8"/>
      <c r="H454" s="8"/>
    </row>
    <row r="455" spans="2:8" ht="14.25" customHeight="1" x14ac:dyDescent="0.3">
      <c r="B455" s="15"/>
      <c r="E455" s="26"/>
      <c r="G455" s="8"/>
      <c r="H455" s="8"/>
    </row>
    <row r="456" spans="2:8" ht="14.25" customHeight="1" x14ac:dyDescent="0.3">
      <c r="B456" s="15"/>
      <c r="E456" s="26"/>
      <c r="G456" s="8"/>
      <c r="H456" s="8"/>
    </row>
    <row r="457" spans="2:8" ht="14.25" customHeight="1" x14ac:dyDescent="0.3">
      <c r="B457" s="15"/>
      <c r="E457" s="26"/>
      <c r="G457" s="8"/>
      <c r="H457" s="8"/>
    </row>
    <row r="458" spans="2:8" ht="14.25" customHeight="1" x14ac:dyDescent="0.3">
      <c r="B458" s="15"/>
      <c r="E458" s="26"/>
      <c r="G458" s="8"/>
      <c r="H458" s="8"/>
    </row>
    <row r="459" spans="2:8" ht="14.25" customHeight="1" x14ac:dyDescent="0.3">
      <c r="B459" s="15"/>
      <c r="E459" s="26"/>
      <c r="G459" s="8"/>
      <c r="H459" s="8"/>
    </row>
    <row r="460" spans="2:8" ht="14.25" customHeight="1" x14ac:dyDescent="0.3">
      <c r="B460" s="15"/>
      <c r="E460" s="26"/>
      <c r="G460" s="8"/>
      <c r="H460" s="8"/>
    </row>
    <row r="461" spans="2:8" ht="14.25" customHeight="1" x14ac:dyDescent="0.3">
      <c r="B461" s="15"/>
      <c r="E461" s="26"/>
      <c r="G461" s="8"/>
      <c r="H461" s="8"/>
    </row>
    <row r="462" spans="2:8" ht="14.25" customHeight="1" x14ac:dyDescent="0.3">
      <c r="B462" s="15"/>
      <c r="E462" s="26"/>
      <c r="G462" s="8"/>
      <c r="H462" s="8"/>
    </row>
    <row r="463" spans="2:8" ht="14.25" customHeight="1" x14ac:dyDescent="0.3">
      <c r="B463" s="15"/>
      <c r="E463" s="26"/>
      <c r="G463" s="8"/>
      <c r="H463" s="8"/>
    </row>
    <row r="464" spans="2:8" ht="14.25" customHeight="1" x14ac:dyDescent="0.3">
      <c r="B464" s="15"/>
      <c r="E464" s="26"/>
      <c r="G464" s="8"/>
      <c r="H464" s="8"/>
    </row>
    <row r="465" spans="2:8" ht="14.25" customHeight="1" x14ac:dyDescent="0.3">
      <c r="B465" s="15"/>
      <c r="E465" s="26"/>
      <c r="G465" s="8"/>
      <c r="H465" s="8"/>
    </row>
    <row r="466" spans="2:8" ht="14.25" customHeight="1" x14ac:dyDescent="0.3">
      <c r="B466" s="15"/>
      <c r="E466" s="26"/>
      <c r="G466" s="8"/>
      <c r="H466" s="8"/>
    </row>
    <row r="467" spans="2:8" ht="14.25" customHeight="1" x14ac:dyDescent="0.3">
      <c r="B467" s="15"/>
      <c r="E467" s="26"/>
      <c r="G467" s="8"/>
      <c r="H467" s="8"/>
    </row>
    <row r="468" spans="2:8" ht="14.25" customHeight="1" x14ac:dyDescent="0.3">
      <c r="B468" s="15"/>
      <c r="E468" s="26"/>
      <c r="G468" s="8"/>
      <c r="H468" s="8"/>
    </row>
    <row r="469" spans="2:8" ht="14.25" customHeight="1" x14ac:dyDescent="0.3">
      <c r="B469" s="15"/>
      <c r="E469" s="26"/>
      <c r="G469" s="8"/>
      <c r="H469" s="8"/>
    </row>
    <row r="470" spans="2:8" ht="14.25" customHeight="1" x14ac:dyDescent="0.3">
      <c r="B470" s="15"/>
      <c r="E470" s="26"/>
      <c r="G470" s="8"/>
      <c r="H470" s="8"/>
    </row>
    <row r="471" spans="2:8" ht="14.25" customHeight="1" x14ac:dyDescent="0.3">
      <c r="B471" s="15"/>
      <c r="E471" s="26"/>
      <c r="G471" s="8"/>
      <c r="H471" s="8"/>
    </row>
    <row r="472" spans="2:8" ht="14.25" customHeight="1" x14ac:dyDescent="0.3">
      <c r="B472" s="15"/>
      <c r="E472" s="26"/>
      <c r="G472" s="8"/>
      <c r="H472" s="8"/>
    </row>
    <row r="473" spans="2:8" ht="14.25" customHeight="1" x14ac:dyDescent="0.3">
      <c r="B473" s="15"/>
      <c r="E473" s="26"/>
      <c r="G473" s="8"/>
      <c r="H473" s="8"/>
    </row>
    <row r="474" spans="2:8" ht="14.25" customHeight="1" x14ac:dyDescent="0.3">
      <c r="B474" s="15"/>
      <c r="E474" s="26"/>
      <c r="G474" s="8"/>
      <c r="H474" s="8"/>
    </row>
    <row r="475" spans="2:8" ht="14.25" customHeight="1" x14ac:dyDescent="0.3">
      <c r="B475" s="15"/>
      <c r="E475" s="26"/>
      <c r="G475" s="8"/>
      <c r="H475" s="8"/>
    </row>
    <row r="476" spans="2:8" ht="14.25" customHeight="1" x14ac:dyDescent="0.3">
      <c r="B476" s="15"/>
      <c r="E476" s="26"/>
      <c r="G476" s="8"/>
      <c r="H476" s="8"/>
    </row>
    <row r="477" spans="2:8" ht="14.25" customHeight="1" x14ac:dyDescent="0.3">
      <c r="B477" s="15"/>
      <c r="E477" s="26"/>
      <c r="G477" s="8"/>
      <c r="H477" s="8"/>
    </row>
    <row r="478" spans="2:8" ht="14.25" customHeight="1" x14ac:dyDescent="0.3">
      <c r="B478" s="15"/>
      <c r="E478" s="26"/>
      <c r="G478" s="8"/>
      <c r="H478" s="8"/>
    </row>
    <row r="479" spans="2:8" ht="14.25" customHeight="1" x14ac:dyDescent="0.3">
      <c r="B479" s="15"/>
      <c r="E479" s="26"/>
      <c r="G479" s="8"/>
      <c r="H479" s="8"/>
    </row>
    <row r="480" spans="2:8" ht="14.25" customHeight="1" x14ac:dyDescent="0.3">
      <c r="B480" s="15"/>
      <c r="E480" s="26"/>
      <c r="G480" s="8"/>
      <c r="H480" s="8"/>
    </row>
    <row r="481" spans="2:8" ht="14.25" customHeight="1" x14ac:dyDescent="0.3">
      <c r="B481" s="15"/>
      <c r="E481" s="26"/>
      <c r="G481" s="8"/>
      <c r="H481" s="8"/>
    </row>
    <row r="482" spans="2:8" ht="14.25" customHeight="1" x14ac:dyDescent="0.3">
      <c r="B482" s="15"/>
      <c r="E482" s="26"/>
      <c r="G482" s="8"/>
      <c r="H482" s="8"/>
    </row>
    <row r="483" spans="2:8" ht="14.25" customHeight="1" x14ac:dyDescent="0.3">
      <c r="B483" s="15"/>
      <c r="E483" s="26"/>
      <c r="G483" s="8"/>
      <c r="H483" s="8"/>
    </row>
    <row r="484" spans="2:8" ht="14.25" customHeight="1" x14ac:dyDescent="0.3">
      <c r="B484" s="15"/>
      <c r="E484" s="26"/>
      <c r="G484" s="8"/>
      <c r="H484" s="8"/>
    </row>
    <row r="485" spans="2:8" ht="14.25" customHeight="1" x14ac:dyDescent="0.3">
      <c r="B485" s="15"/>
      <c r="E485" s="26"/>
      <c r="G485" s="8"/>
      <c r="H485" s="8"/>
    </row>
    <row r="486" spans="2:8" ht="14.25" customHeight="1" x14ac:dyDescent="0.3">
      <c r="B486" s="15"/>
      <c r="E486" s="26"/>
      <c r="G486" s="8"/>
      <c r="H486" s="8"/>
    </row>
    <row r="487" spans="2:8" ht="14.25" customHeight="1" x14ac:dyDescent="0.3">
      <c r="B487" s="15"/>
      <c r="E487" s="26"/>
      <c r="G487" s="8"/>
      <c r="H487" s="8"/>
    </row>
    <row r="488" spans="2:8" ht="14.25" customHeight="1" x14ac:dyDescent="0.3">
      <c r="B488" s="15"/>
      <c r="E488" s="26"/>
      <c r="G488" s="8"/>
      <c r="H488" s="8"/>
    </row>
    <row r="489" spans="2:8" ht="14.25" customHeight="1" x14ac:dyDescent="0.3">
      <c r="B489" s="15"/>
      <c r="E489" s="26"/>
      <c r="G489" s="8"/>
      <c r="H489" s="8"/>
    </row>
    <row r="490" spans="2:8" ht="14.25" customHeight="1" x14ac:dyDescent="0.3">
      <c r="B490" s="15"/>
      <c r="E490" s="26"/>
      <c r="G490" s="8"/>
      <c r="H490" s="8"/>
    </row>
    <row r="491" spans="2:8" ht="14.25" customHeight="1" x14ac:dyDescent="0.3">
      <c r="B491" s="15"/>
      <c r="E491" s="26"/>
      <c r="G491" s="8"/>
      <c r="H491" s="8"/>
    </row>
    <row r="492" spans="2:8" ht="14.25" customHeight="1" x14ac:dyDescent="0.3">
      <c r="B492" s="15"/>
      <c r="E492" s="26"/>
      <c r="G492" s="8"/>
      <c r="H492" s="8"/>
    </row>
    <row r="493" spans="2:8" ht="14.25" customHeight="1" x14ac:dyDescent="0.3">
      <c r="B493" s="15"/>
      <c r="E493" s="26"/>
      <c r="G493" s="8"/>
      <c r="H493" s="8"/>
    </row>
    <row r="494" spans="2:8" ht="14.25" customHeight="1" x14ac:dyDescent="0.3">
      <c r="B494" s="15"/>
      <c r="E494" s="26"/>
      <c r="G494" s="8"/>
      <c r="H494" s="8"/>
    </row>
    <row r="495" spans="2:8" ht="14.25" customHeight="1" x14ac:dyDescent="0.3">
      <c r="B495" s="15"/>
      <c r="E495" s="26"/>
      <c r="G495" s="8"/>
      <c r="H495" s="8"/>
    </row>
    <row r="496" spans="2:8" ht="14.25" customHeight="1" x14ac:dyDescent="0.3">
      <c r="B496" s="15"/>
      <c r="E496" s="26"/>
      <c r="G496" s="8"/>
      <c r="H496" s="8"/>
    </row>
    <row r="497" spans="2:8" ht="14.25" customHeight="1" x14ac:dyDescent="0.3">
      <c r="B497" s="15"/>
      <c r="E497" s="26"/>
      <c r="G497" s="8"/>
      <c r="H497" s="8"/>
    </row>
    <row r="498" spans="2:8" ht="14.25" customHeight="1" x14ac:dyDescent="0.3">
      <c r="B498" s="15"/>
      <c r="E498" s="26"/>
      <c r="G498" s="8"/>
      <c r="H498" s="8"/>
    </row>
    <row r="499" spans="2:8" ht="14.25" customHeight="1" x14ac:dyDescent="0.3">
      <c r="B499" s="15"/>
      <c r="E499" s="26"/>
      <c r="G499" s="8"/>
      <c r="H499" s="8"/>
    </row>
    <row r="500" spans="2:8" ht="14.25" customHeight="1" x14ac:dyDescent="0.3">
      <c r="B500" s="15"/>
      <c r="E500" s="26"/>
      <c r="G500" s="8"/>
      <c r="H500" s="8"/>
    </row>
    <row r="501" spans="2:8" ht="14.25" customHeight="1" x14ac:dyDescent="0.3">
      <c r="B501" s="15"/>
      <c r="E501" s="26"/>
      <c r="G501" s="8"/>
      <c r="H501" s="8"/>
    </row>
    <row r="502" spans="2:8" ht="14.25" customHeight="1" x14ac:dyDescent="0.3">
      <c r="B502" s="15"/>
      <c r="E502" s="26"/>
      <c r="G502" s="8"/>
      <c r="H502" s="8"/>
    </row>
    <row r="503" spans="2:8" ht="14.25" customHeight="1" x14ac:dyDescent="0.3">
      <c r="B503" s="15"/>
      <c r="E503" s="26"/>
      <c r="G503" s="8"/>
      <c r="H503" s="8"/>
    </row>
    <row r="504" spans="2:8" ht="14.25" customHeight="1" x14ac:dyDescent="0.3">
      <c r="B504" s="15"/>
      <c r="E504" s="26"/>
      <c r="G504" s="8"/>
      <c r="H504" s="8"/>
    </row>
    <row r="505" spans="2:8" ht="14.25" customHeight="1" x14ac:dyDescent="0.3">
      <c r="B505" s="15"/>
      <c r="E505" s="26"/>
      <c r="G505" s="8"/>
      <c r="H505" s="8"/>
    </row>
    <row r="506" spans="2:8" ht="14.25" customHeight="1" x14ac:dyDescent="0.3">
      <c r="B506" s="15"/>
      <c r="E506" s="26"/>
      <c r="G506" s="8"/>
      <c r="H506" s="8"/>
    </row>
    <row r="507" spans="2:8" ht="14.25" customHeight="1" x14ac:dyDescent="0.3">
      <c r="B507" s="15"/>
      <c r="E507" s="26"/>
      <c r="G507" s="8"/>
      <c r="H507" s="8"/>
    </row>
    <row r="508" spans="2:8" ht="14.25" customHeight="1" x14ac:dyDescent="0.3">
      <c r="B508" s="15"/>
      <c r="E508" s="26"/>
      <c r="G508" s="8"/>
      <c r="H508" s="8"/>
    </row>
    <row r="509" spans="2:8" ht="14.25" customHeight="1" x14ac:dyDescent="0.3">
      <c r="B509" s="15"/>
      <c r="E509" s="26"/>
      <c r="G509" s="8"/>
      <c r="H509" s="8"/>
    </row>
    <row r="510" spans="2:8" ht="14.25" customHeight="1" x14ac:dyDescent="0.3">
      <c r="B510" s="15"/>
      <c r="E510" s="26"/>
      <c r="G510" s="8"/>
      <c r="H510" s="8"/>
    </row>
    <row r="511" spans="2:8" ht="14.25" customHeight="1" x14ac:dyDescent="0.3">
      <c r="B511" s="15"/>
      <c r="E511" s="26"/>
      <c r="G511" s="8"/>
      <c r="H511" s="8"/>
    </row>
    <row r="512" spans="2:8" ht="14.25" customHeight="1" x14ac:dyDescent="0.3">
      <c r="B512" s="15"/>
      <c r="E512" s="26"/>
      <c r="G512" s="8"/>
      <c r="H512" s="8"/>
    </row>
    <row r="513" spans="2:8" ht="14.25" customHeight="1" x14ac:dyDescent="0.3">
      <c r="B513" s="15"/>
      <c r="E513" s="26"/>
      <c r="G513" s="8"/>
      <c r="H513" s="8"/>
    </row>
    <row r="514" spans="2:8" ht="14.25" customHeight="1" x14ac:dyDescent="0.3">
      <c r="B514" s="15"/>
      <c r="E514" s="26"/>
      <c r="G514" s="8"/>
      <c r="H514" s="8"/>
    </row>
    <row r="515" spans="2:8" ht="14.25" customHeight="1" x14ac:dyDescent="0.3">
      <c r="B515" s="15"/>
      <c r="E515" s="26"/>
      <c r="G515" s="8"/>
      <c r="H515" s="8"/>
    </row>
    <row r="516" spans="2:8" ht="14.25" customHeight="1" x14ac:dyDescent="0.3">
      <c r="B516" s="15"/>
      <c r="E516" s="26"/>
      <c r="G516" s="8"/>
      <c r="H516" s="8"/>
    </row>
    <row r="517" spans="2:8" ht="14.25" customHeight="1" x14ac:dyDescent="0.3">
      <c r="B517" s="15"/>
      <c r="E517" s="26"/>
      <c r="G517" s="8"/>
      <c r="H517" s="8"/>
    </row>
    <row r="518" spans="2:8" ht="14.25" customHeight="1" x14ac:dyDescent="0.3">
      <c r="B518" s="15"/>
      <c r="E518" s="26"/>
      <c r="G518" s="8"/>
      <c r="H518" s="8"/>
    </row>
    <row r="519" spans="2:8" ht="14.25" customHeight="1" x14ac:dyDescent="0.3">
      <c r="B519" s="15"/>
      <c r="E519" s="26"/>
      <c r="G519" s="8"/>
      <c r="H519" s="8"/>
    </row>
    <row r="520" spans="2:8" ht="14.25" customHeight="1" x14ac:dyDescent="0.3">
      <c r="B520" s="15"/>
      <c r="E520" s="26"/>
      <c r="G520" s="8"/>
      <c r="H520" s="8"/>
    </row>
    <row r="521" spans="2:8" ht="14.25" customHeight="1" x14ac:dyDescent="0.3">
      <c r="B521" s="15"/>
      <c r="E521" s="26"/>
      <c r="G521" s="8"/>
      <c r="H521" s="8"/>
    </row>
    <row r="522" spans="2:8" ht="14.25" customHeight="1" x14ac:dyDescent="0.3">
      <c r="B522" s="15"/>
      <c r="E522" s="26"/>
      <c r="G522" s="8"/>
      <c r="H522" s="8"/>
    </row>
    <row r="523" spans="2:8" ht="14.25" customHeight="1" x14ac:dyDescent="0.3">
      <c r="B523" s="15"/>
      <c r="E523" s="26"/>
      <c r="G523" s="8"/>
      <c r="H523" s="8"/>
    </row>
    <row r="524" spans="2:8" ht="14.25" customHeight="1" x14ac:dyDescent="0.3">
      <c r="B524" s="15"/>
      <c r="E524" s="26"/>
      <c r="G524" s="8"/>
      <c r="H524" s="8"/>
    </row>
    <row r="525" spans="2:8" ht="14.25" customHeight="1" x14ac:dyDescent="0.3">
      <c r="B525" s="15"/>
      <c r="E525" s="26"/>
      <c r="G525" s="8"/>
      <c r="H525" s="8"/>
    </row>
    <row r="526" spans="2:8" ht="14.25" customHeight="1" x14ac:dyDescent="0.3">
      <c r="B526" s="15"/>
      <c r="E526" s="26"/>
      <c r="G526" s="8"/>
      <c r="H526" s="8"/>
    </row>
    <row r="527" spans="2:8" ht="14.25" customHeight="1" x14ac:dyDescent="0.3">
      <c r="B527" s="15"/>
      <c r="E527" s="26"/>
      <c r="G527" s="8"/>
      <c r="H527" s="8"/>
    </row>
    <row r="528" spans="2:8" ht="14.25" customHeight="1" x14ac:dyDescent="0.3">
      <c r="B528" s="15"/>
      <c r="E528" s="26"/>
      <c r="G528" s="8"/>
      <c r="H528" s="8"/>
    </row>
    <row r="529" spans="2:8" ht="14.25" customHeight="1" x14ac:dyDescent="0.3">
      <c r="B529" s="15"/>
      <c r="E529" s="26"/>
      <c r="G529" s="8"/>
      <c r="H529" s="8"/>
    </row>
    <row r="530" spans="2:8" ht="14.25" customHeight="1" x14ac:dyDescent="0.3">
      <c r="B530" s="15"/>
      <c r="E530" s="26"/>
      <c r="G530" s="8"/>
      <c r="H530" s="8"/>
    </row>
    <row r="531" spans="2:8" ht="14.25" customHeight="1" x14ac:dyDescent="0.3">
      <c r="B531" s="15"/>
      <c r="E531" s="26"/>
      <c r="G531" s="8"/>
      <c r="H531" s="8"/>
    </row>
    <row r="532" spans="2:8" ht="14.25" customHeight="1" x14ac:dyDescent="0.3">
      <c r="B532" s="15"/>
      <c r="E532" s="26"/>
      <c r="G532" s="8"/>
      <c r="H532" s="8"/>
    </row>
    <row r="533" spans="2:8" ht="14.25" customHeight="1" x14ac:dyDescent="0.3">
      <c r="B533" s="15"/>
      <c r="E533" s="26"/>
      <c r="G533" s="8"/>
      <c r="H533" s="8"/>
    </row>
    <row r="534" spans="2:8" ht="14.25" customHeight="1" x14ac:dyDescent="0.3">
      <c r="B534" s="15"/>
      <c r="E534" s="26"/>
      <c r="G534" s="8"/>
      <c r="H534" s="8"/>
    </row>
    <row r="535" spans="2:8" ht="14.25" customHeight="1" x14ac:dyDescent="0.3">
      <c r="B535" s="15"/>
      <c r="E535" s="26"/>
      <c r="G535" s="8"/>
      <c r="H535" s="8"/>
    </row>
    <row r="536" spans="2:8" ht="14.25" customHeight="1" x14ac:dyDescent="0.3">
      <c r="B536" s="15"/>
      <c r="E536" s="26"/>
      <c r="G536" s="8"/>
      <c r="H536" s="8"/>
    </row>
    <row r="537" spans="2:8" ht="14.25" customHeight="1" x14ac:dyDescent="0.3">
      <c r="B537" s="15"/>
      <c r="E537" s="26"/>
      <c r="G537" s="8"/>
      <c r="H537" s="8"/>
    </row>
    <row r="538" spans="2:8" ht="14.25" customHeight="1" x14ac:dyDescent="0.3">
      <c r="B538" s="15"/>
      <c r="E538" s="26"/>
      <c r="G538" s="8"/>
      <c r="H538" s="8"/>
    </row>
    <row r="539" spans="2:8" ht="14.25" customHeight="1" x14ac:dyDescent="0.3">
      <c r="B539" s="15"/>
      <c r="E539" s="26"/>
      <c r="G539" s="8"/>
      <c r="H539" s="8"/>
    </row>
    <row r="540" spans="2:8" ht="14.25" customHeight="1" x14ac:dyDescent="0.3">
      <c r="B540" s="15"/>
      <c r="E540" s="26"/>
      <c r="G540" s="8"/>
      <c r="H540" s="8"/>
    </row>
    <row r="541" spans="2:8" ht="14.25" customHeight="1" x14ac:dyDescent="0.3">
      <c r="B541" s="15"/>
      <c r="E541" s="26"/>
      <c r="G541" s="8"/>
      <c r="H541" s="8"/>
    </row>
    <row r="542" spans="2:8" ht="14.25" customHeight="1" x14ac:dyDescent="0.3">
      <c r="B542" s="15"/>
      <c r="E542" s="26"/>
      <c r="G542" s="8"/>
      <c r="H542" s="8"/>
    </row>
    <row r="543" spans="2:8" ht="14.25" customHeight="1" x14ac:dyDescent="0.3">
      <c r="B543" s="15"/>
      <c r="E543" s="26"/>
      <c r="G543" s="8"/>
      <c r="H543" s="8"/>
    </row>
    <row r="544" spans="2:8" ht="14.25" customHeight="1" x14ac:dyDescent="0.3">
      <c r="B544" s="15"/>
      <c r="E544" s="26"/>
      <c r="G544" s="8"/>
      <c r="H544" s="8"/>
    </row>
    <row r="545" spans="2:8" ht="14.25" customHeight="1" x14ac:dyDescent="0.3">
      <c r="B545" s="15"/>
      <c r="E545" s="26"/>
      <c r="G545" s="8"/>
      <c r="H545" s="8"/>
    </row>
    <row r="546" spans="2:8" ht="14.25" customHeight="1" x14ac:dyDescent="0.3">
      <c r="B546" s="15"/>
      <c r="E546" s="26"/>
      <c r="G546" s="8"/>
      <c r="H546" s="8"/>
    </row>
    <row r="547" spans="2:8" ht="14.25" customHeight="1" x14ac:dyDescent="0.3">
      <c r="B547" s="15"/>
      <c r="E547" s="26"/>
      <c r="G547" s="8"/>
      <c r="H547" s="8"/>
    </row>
    <row r="548" spans="2:8" ht="14.25" customHeight="1" x14ac:dyDescent="0.3">
      <c r="B548" s="15"/>
      <c r="E548" s="26"/>
      <c r="G548" s="8"/>
      <c r="H548" s="8"/>
    </row>
    <row r="549" spans="2:8" ht="14.25" customHeight="1" x14ac:dyDescent="0.3">
      <c r="B549" s="15"/>
      <c r="E549" s="26"/>
      <c r="G549" s="8"/>
      <c r="H549" s="8"/>
    </row>
    <row r="550" spans="2:8" ht="14.25" customHeight="1" x14ac:dyDescent="0.3">
      <c r="B550" s="15"/>
      <c r="E550" s="26"/>
      <c r="G550" s="8"/>
      <c r="H550" s="8"/>
    </row>
    <row r="551" spans="2:8" ht="14.25" customHeight="1" x14ac:dyDescent="0.3">
      <c r="B551" s="15"/>
      <c r="E551" s="26"/>
      <c r="G551" s="8"/>
      <c r="H551" s="8"/>
    </row>
    <row r="552" spans="2:8" ht="14.25" customHeight="1" x14ac:dyDescent="0.3">
      <c r="B552" s="15"/>
      <c r="E552" s="26"/>
      <c r="G552" s="8"/>
      <c r="H552" s="8"/>
    </row>
    <row r="553" spans="2:8" ht="14.25" customHeight="1" x14ac:dyDescent="0.3">
      <c r="B553" s="15"/>
      <c r="E553" s="26"/>
      <c r="G553" s="8"/>
      <c r="H553" s="8"/>
    </row>
    <row r="554" spans="2:8" ht="14.25" customHeight="1" x14ac:dyDescent="0.3">
      <c r="B554" s="15"/>
      <c r="E554" s="26"/>
      <c r="G554" s="8"/>
      <c r="H554" s="8"/>
    </row>
    <row r="555" spans="2:8" ht="14.25" customHeight="1" x14ac:dyDescent="0.3">
      <c r="B555" s="15"/>
      <c r="E555" s="26"/>
      <c r="G555" s="8"/>
      <c r="H555" s="8"/>
    </row>
    <row r="556" spans="2:8" ht="14.25" customHeight="1" x14ac:dyDescent="0.3">
      <c r="B556" s="15"/>
      <c r="E556" s="26"/>
      <c r="G556" s="8"/>
      <c r="H556" s="8"/>
    </row>
    <row r="557" spans="2:8" ht="14.25" customHeight="1" x14ac:dyDescent="0.3">
      <c r="B557" s="15"/>
      <c r="E557" s="26"/>
      <c r="G557" s="8"/>
      <c r="H557" s="8"/>
    </row>
    <row r="558" spans="2:8" ht="14.25" customHeight="1" x14ac:dyDescent="0.3">
      <c r="B558" s="15"/>
      <c r="E558" s="26"/>
      <c r="G558" s="8"/>
      <c r="H558" s="8"/>
    </row>
    <row r="559" spans="2:8" ht="14.25" customHeight="1" x14ac:dyDescent="0.3">
      <c r="B559" s="15"/>
      <c r="E559" s="26"/>
      <c r="G559" s="8"/>
      <c r="H559" s="8"/>
    </row>
    <row r="560" spans="2:8" ht="14.25" customHeight="1" x14ac:dyDescent="0.3">
      <c r="B560" s="15"/>
      <c r="E560" s="26"/>
      <c r="G560" s="8"/>
      <c r="H560" s="8"/>
    </row>
    <row r="561" spans="2:8" ht="14.25" customHeight="1" x14ac:dyDescent="0.3">
      <c r="B561" s="15"/>
      <c r="E561" s="26"/>
      <c r="G561" s="8"/>
      <c r="H561" s="8"/>
    </row>
    <row r="562" spans="2:8" ht="14.25" customHeight="1" x14ac:dyDescent="0.3">
      <c r="B562" s="15"/>
      <c r="E562" s="26"/>
      <c r="G562" s="8"/>
      <c r="H562" s="8"/>
    </row>
    <row r="563" spans="2:8" ht="14.25" customHeight="1" x14ac:dyDescent="0.3">
      <c r="B563" s="15"/>
      <c r="E563" s="26"/>
      <c r="G563" s="8"/>
      <c r="H563" s="8"/>
    </row>
    <row r="564" spans="2:8" ht="14.25" customHeight="1" x14ac:dyDescent="0.3">
      <c r="B564" s="15"/>
      <c r="E564" s="26"/>
      <c r="G564" s="8"/>
      <c r="H564" s="8"/>
    </row>
    <row r="565" spans="2:8" ht="14.25" customHeight="1" x14ac:dyDescent="0.3">
      <c r="B565" s="15"/>
      <c r="E565" s="26"/>
      <c r="G565" s="8"/>
      <c r="H565" s="8"/>
    </row>
    <row r="566" spans="2:8" ht="14.25" customHeight="1" x14ac:dyDescent="0.3">
      <c r="B566" s="15"/>
      <c r="E566" s="26"/>
      <c r="G566" s="8"/>
      <c r="H566" s="8"/>
    </row>
    <row r="567" spans="2:8" ht="14.25" customHeight="1" x14ac:dyDescent="0.3">
      <c r="B567" s="15"/>
      <c r="E567" s="26"/>
      <c r="G567" s="8"/>
      <c r="H567" s="8"/>
    </row>
    <row r="568" spans="2:8" ht="14.25" customHeight="1" x14ac:dyDescent="0.3">
      <c r="B568" s="15"/>
      <c r="E568" s="26"/>
      <c r="G568" s="8"/>
      <c r="H568" s="8"/>
    </row>
    <row r="569" spans="2:8" ht="14.25" customHeight="1" x14ac:dyDescent="0.3">
      <c r="B569" s="15"/>
      <c r="E569" s="26"/>
      <c r="G569" s="8"/>
      <c r="H569" s="8"/>
    </row>
    <row r="570" spans="2:8" ht="14.25" customHeight="1" x14ac:dyDescent="0.3">
      <c r="B570" s="15"/>
      <c r="E570" s="26"/>
      <c r="G570" s="8"/>
      <c r="H570" s="8"/>
    </row>
    <row r="571" spans="2:8" ht="14.25" customHeight="1" x14ac:dyDescent="0.3">
      <c r="B571" s="15"/>
      <c r="E571" s="26"/>
      <c r="G571" s="8"/>
      <c r="H571" s="8"/>
    </row>
    <row r="572" spans="2:8" ht="14.25" customHeight="1" x14ac:dyDescent="0.3">
      <c r="B572" s="15"/>
      <c r="E572" s="26"/>
      <c r="G572" s="8"/>
      <c r="H572" s="8"/>
    </row>
    <row r="573" spans="2:8" ht="14.25" customHeight="1" x14ac:dyDescent="0.3">
      <c r="B573" s="15"/>
      <c r="E573" s="26"/>
      <c r="G573" s="8"/>
      <c r="H573" s="8"/>
    </row>
    <row r="574" spans="2:8" ht="14.25" customHeight="1" x14ac:dyDescent="0.3">
      <c r="B574" s="15"/>
      <c r="E574" s="26"/>
      <c r="G574" s="8"/>
      <c r="H574" s="8"/>
    </row>
    <row r="575" spans="2:8" ht="14.25" customHeight="1" x14ac:dyDescent="0.3">
      <c r="B575" s="15"/>
      <c r="E575" s="26"/>
      <c r="G575" s="8"/>
      <c r="H575" s="8"/>
    </row>
    <row r="576" spans="2:8" ht="14.25" customHeight="1" x14ac:dyDescent="0.3">
      <c r="B576" s="15"/>
      <c r="E576" s="26"/>
      <c r="G576" s="8"/>
      <c r="H576" s="8"/>
    </row>
    <row r="577" spans="2:8" ht="14.25" customHeight="1" x14ac:dyDescent="0.3">
      <c r="B577" s="15"/>
      <c r="E577" s="26"/>
      <c r="G577" s="8"/>
      <c r="H577" s="8"/>
    </row>
    <row r="578" spans="2:8" ht="14.25" customHeight="1" x14ac:dyDescent="0.3">
      <c r="B578" s="15"/>
      <c r="E578" s="26"/>
      <c r="G578" s="8"/>
      <c r="H578" s="8"/>
    </row>
    <row r="579" spans="2:8" ht="14.25" customHeight="1" x14ac:dyDescent="0.3">
      <c r="B579" s="15"/>
      <c r="E579" s="26"/>
      <c r="G579" s="8"/>
      <c r="H579" s="8"/>
    </row>
    <row r="580" spans="2:8" ht="14.25" customHeight="1" x14ac:dyDescent="0.3">
      <c r="B580" s="15"/>
      <c r="E580" s="26"/>
      <c r="G580" s="8"/>
      <c r="H580" s="8"/>
    </row>
    <row r="581" spans="2:8" ht="14.25" customHeight="1" x14ac:dyDescent="0.3">
      <c r="B581" s="15"/>
      <c r="E581" s="26"/>
      <c r="G581" s="8"/>
      <c r="H581" s="8"/>
    </row>
    <row r="582" spans="2:8" ht="14.25" customHeight="1" x14ac:dyDescent="0.3">
      <c r="B582" s="15"/>
      <c r="E582" s="26"/>
      <c r="G582" s="8"/>
      <c r="H582" s="8"/>
    </row>
    <row r="583" spans="2:8" ht="14.25" customHeight="1" x14ac:dyDescent="0.3">
      <c r="B583" s="15"/>
      <c r="E583" s="26"/>
      <c r="G583" s="8"/>
      <c r="H583" s="8"/>
    </row>
    <row r="584" spans="2:8" ht="14.25" customHeight="1" x14ac:dyDescent="0.3">
      <c r="B584" s="15"/>
      <c r="E584" s="26"/>
      <c r="G584" s="8"/>
      <c r="H584" s="8"/>
    </row>
    <row r="585" spans="2:8" ht="14.25" customHeight="1" x14ac:dyDescent="0.3">
      <c r="B585" s="15"/>
      <c r="E585" s="26"/>
      <c r="G585" s="8"/>
      <c r="H585" s="8"/>
    </row>
    <row r="586" spans="2:8" ht="14.25" customHeight="1" x14ac:dyDescent="0.3">
      <c r="B586" s="15"/>
      <c r="E586" s="26"/>
      <c r="G586" s="8"/>
      <c r="H586" s="8"/>
    </row>
    <row r="587" spans="2:8" ht="14.25" customHeight="1" x14ac:dyDescent="0.3">
      <c r="B587" s="15"/>
      <c r="E587" s="26"/>
      <c r="G587" s="8"/>
      <c r="H587" s="8"/>
    </row>
    <row r="588" spans="2:8" ht="14.25" customHeight="1" x14ac:dyDescent="0.3">
      <c r="B588" s="15"/>
      <c r="E588" s="26"/>
      <c r="G588" s="8"/>
      <c r="H588" s="8"/>
    </row>
    <row r="589" spans="2:8" ht="14.25" customHeight="1" x14ac:dyDescent="0.3">
      <c r="B589" s="15"/>
      <c r="E589" s="26"/>
      <c r="G589" s="8"/>
      <c r="H589" s="8"/>
    </row>
    <row r="590" spans="2:8" ht="14.25" customHeight="1" x14ac:dyDescent="0.3">
      <c r="B590" s="15"/>
      <c r="E590" s="26"/>
      <c r="G590" s="8"/>
      <c r="H590" s="8"/>
    </row>
    <row r="591" spans="2:8" ht="14.25" customHeight="1" x14ac:dyDescent="0.3">
      <c r="B591" s="15"/>
      <c r="E591" s="26"/>
      <c r="G591" s="8"/>
      <c r="H591" s="8"/>
    </row>
    <row r="592" spans="2:8" ht="14.25" customHeight="1" x14ac:dyDescent="0.3">
      <c r="B592" s="15"/>
      <c r="E592" s="26"/>
      <c r="G592" s="8"/>
      <c r="H592" s="8"/>
    </row>
    <row r="593" spans="2:8" ht="14.25" customHeight="1" x14ac:dyDescent="0.3">
      <c r="B593" s="15"/>
      <c r="E593" s="26"/>
      <c r="G593" s="8"/>
      <c r="H593" s="8"/>
    </row>
    <row r="594" spans="2:8" ht="14.25" customHeight="1" x14ac:dyDescent="0.3">
      <c r="B594" s="15"/>
      <c r="E594" s="26"/>
      <c r="G594" s="8"/>
      <c r="H594" s="8"/>
    </row>
    <row r="595" spans="2:8" ht="14.25" customHeight="1" x14ac:dyDescent="0.3">
      <c r="B595" s="15"/>
      <c r="E595" s="26"/>
      <c r="G595" s="8"/>
      <c r="H595" s="8"/>
    </row>
    <row r="596" spans="2:8" ht="14.25" customHeight="1" x14ac:dyDescent="0.3">
      <c r="B596" s="15"/>
      <c r="E596" s="26"/>
      <c r="G596" s="8"/>
      <c r="H596" s="8"/>
    </row>
    <row r="597" spans="2:8" ht="14.25" customHeight="1" x14ac:dyDescent="0.3">
      <c r="B597" s="15"/>
      <c r="E597" s="26"/>
      <c r="G597" s="8"/>
      <c r="H597" s="8"/>
    </row>
    <row r="598" spans="2:8" ht="14.25" customHeight="1" x14ac:dyDescent="0.3">
      <c r="B598" s="15"/>
      <c r="E598" s="26"/>
      <c r="G598" s="8"/>
      <c r="H598" s="8"/>
    </row>
    <row r="599" spans="2:8" ht="14.25" customHeight="1" x14ac:dyDescent="0.3">
      <c r="B599" s="15"/>
      <c r="E599" s="26"/>
      <c r="G599" s="8"/>
      <c r="H599" s="8"/>
    </row>
    <row r="600" spans="2:8" ht="14.25" customHeight="1" x14ac:dyDescent="0.3">
      <c r="B600" s="15"/>
      <c r="E600" s="26"/>
      <c r="G600" s="8"/>
      <c r="H600" s="8"/>
    </row>
    <row r="601" spans="2:8" ht="14.25" customHeight="1" x14ac:dyDescent="0.3">
      <c r="B601" s="15"/>
      <c r="E601" s="26"/>
      <c r="G601" s="8"/>
      <c r="H601" s="8"/>
    </row>
    <row r="602" spans="2:8" ht="14.25" customHeight="1" x14ac:dyDescent="0.3">
      <c r="B602" s="15"/>
      <c r="E602" s="26"/>
      <c r="G602" s="8"/>
      <c r="H602" s="8"/>
    </row>
    <row r="603" spans="2:8" ht="14.25" customHeight="1" x14ac:dyDescent="0.3">
      <c r="B603" s="15"/>
      <c r="E603" s="26"/>
      <c r="G603" s="8"/>
      <c r="H603" s="8"/>
    </row>
    <row r="604" spans="2:8" ht="14.25" customHeight="1" x14ac:dyDescent="0.3">
      <c r="B604" s="15"/>
      <c r="E604" s="26"/>
      <c r="G604" s="8"/>
      <c r="H604" s="8"/>
    </row>
    <row r="605" spans="2:8" ht="14.25" customHeight="1" x14ac:dyDescent="0.3">
      <c r="B605" s="15"/>
      <c r="E605" s="26"/>
      <c r="G605" s="8"/>
      <c r="H605" s="8"/>
    </row>
    <row r="606" spans="2:8" ht="14.25" customHeight="1" x14ac:dyDescent="0.3">
      <c r="B606" s="15"/>
      <c r="E606" s="26"/>
      <c r="G606" s="8"/>
      <c r="H606" s="8"/>
    </row>
    <row r="607" spans="2:8" ht="14.25" customHeight="1" x14ac:dyDescent="0.3">
      <c r="B607" s="15"/>
      <c r="E607" s="26"/>
      <c r="G607" s="8"/>
      <c r="H607" s="8"/>
    </row>
    <row r="608" spans="2:8" ht="14.25" customHeight="1" x14ac:dyDescent="0.3">
      <c r="B608" s="15"/>
      <c r="E608" s="26"/>
      <c r="G608" s="8"/>
      <c r="H608" s="8"/>
    </row>
    <row r="609" spans="2:8" ht="14.25" customHeight="1" x14ac:dyDescent="0.3">
      <c r="B609" s="15"/>
      <c r="E609" s="26"/>
      <c r="G609" s="8"/>
      <c r="H609" s="8"/>
    </row>
    <row r="610" spans="2:8" ht="14.25" customHeight="1" x14ac:dyDescent="0.3">
      <c r="B610" s="15"/>
      <c r="E610" s="26"/>
      <c r="G610" s="8"/>
      <c r="H610" s="8"/>
    </row>
    <row r="611" spans="2:8" ht="14.25" customHeight="1" x14ac:dyDescent="0.3">
      <c r="B611" s="15"/>
      <c r="E611" s="26"/>
      <c r="G611" s="8"/>
      <c r="H611" s="8"/>
    </row>
    <row r="612" spans="2:8" ht="14.25" customHeight="1" x14ac:dyDescent="0.3">
      <c r="B612" s="15"/>
      <c r="E612" s="26"/>
      <c r="G612" s="8"/>
      <c r="H612" s="8"/>
    </row>
    <row r="613" spans="2:8" ht="14.25" customHeight="1" x14ac:dyDescent="0.3">
      <c r="B613" s="15"/>
      <c r="E613" s="26"/>
      <c r="G613" s="8"/>
      <c r="H613" s="8"/>
    </row>
    <row r="614" spans="2:8" ht="14.25" customHeight="1" x14ac:dyDescent="0.3">
      <c r="B614" s="15"/>
      <c r="E614" s="26"/>
      <c r="G614" s="8"/>
      <c r="H614" s="8"/>
    </row>
    <row r="615" spans="2:8" ht="14.25" customHeight="1" x14ac:dyDescent="0.3">
      <c r="B615" s="15"/>
      <c r="E615" s="26"/>
      <c r="G615" s="8"/>
      <c r="H615" s="8"/>
    </row>
    <row r="616" spans="2:8" ht="14.25" customHeight="1" x14ac:dyDescent="0.3">
      <c r="B616" s="15"/>
      <c r="E616" s="26"/>
      <c r="G616" s="8"/>
      <c r="H616" s="8"/>
    </row>
    <row r="617" spans="2:8" ht="14.25" customHeight="1" x14ac:dyDescent="0.3">
      <c r="B617" s="15"/>
      <c r="E617" s="26"/>
      <c r="G617" s="8"/>
      <c r="H617" s="8"/>
    </row>
    <row r="618" spans="2:8" ht="14.25" customHeight="1" x14ac:dyDescent="0.3">
      <c r="B618" s="15"/>
      <c r="E618" s="26"/>
      <c r="G618" s="8"/>
      <c r="H618" s="8"/>
    </row>
    <row r="619" spans="2:8" ht="14.25" customHeight="1" x14ac:dyDescent="0.3">
      <c r="B619" s="15"/>
      <c r="E619" s="26"/>
      <c r="G619" s="8"/>
      <c r="H619" s="8"/>
    </row>
    <row r="620" spans="2:8" ht="14.25" customHeight="1" x14ac:dyDescent="0.3">
      <c r="B620" s="15"/>
      <c r="E620" s="26"/>
      <c r="G620" s="8"/>
      <c r="H620" s="8"/>
    </row>
    <row r="621" spans="2:8" ht="14.25" customHeight="1" x14ac:dyDescent="0.3">
      <c r="B621" s="15"/>
      <c r="E621" s="26"/>
      <c r="G621" s="8"/>
      <c r="H621" s="8"/>
    </row>
    <row r="622" spans="2:8" ht="14.25" customHeight="1" x14ac:dyDescent="0.3">
      <c r="B622" s="15"/>
      <c r="E622" s="26"/>
      <c r="G622" s="8"/>
      <c r="H622" s="8"/>
    </row>
    <row r="623" spans="2:8" ht="14.25" customHeight="1" x14ac:dyDescent="0.3">
      <c r="B623" s="15"/>
      <c r="E623" s="26"/>
      <c r="G623" s="8"/>
      <c r="H623" s="8"/>
    </row>
    <row r="624" spans="2:8" ht="14.25" customHeight="1" x14ac:dyDescent="0.3">
      <c r="B624" s="15"/>
      <c r="E624" s="26"/>
      <c r="G624" s="8"/>
      <c r="H624" s="8"/>
    </row>
    <row r="625" spans="2:8" ht="14.25" customHeight="1" x14ac:dyDescent="0.3">
      <c r="B625" s="15"/>
      <c r="E625" s="26"/>
      <c r="G625" s="8"/>
      <c r="H625" s="8"/>
    </row>
    <row r="626" spans="2:8" ht="14.25" customHeight="1" x14ac:dyDescent="0.3">
      <c r="B626" s="15"/>
      <c r="E626" s="26"/>
      <c r="G626" s="8"/>
      <c r="H626" s="8"/>
    </row>
    <row r="627" spans="2:8" ht="14.25" customHeight="1" x14ac:dyDescent="0.3">
      <c r="B627" s="15"/>
      <c r="E627" s="26"/>
      <c r="G627" s="8"/>
      <c r="H627" s="8"/>
    </row>
    <row r="628" spans="2:8" ht="14.25" customHeight="1" x14ac:dyDescent="0.3">
      <c r="B628" s="15"/>
      <c r="E628" s="26"/>
      <c r="G628" s="8"/>
      <c r="H628" s="8"/>
    </row>
    <row r="629" spans="2:8" ht="14.25" customHeight="1" x14ac:dyDescent="0.3">
      <c r="B629" s="15"/>
      <c r="E629" s="26"/>
      <c r="G629" s="8"/>
      <c r="H629" s="8"/>
    </row>
    <row r="630" spans="2:8" ht="14.25" customHeight="1" x14ac:dyDescent="0.3">
      <c r="B630" s="15"/>
      <c r="E630" s="26"/>
      <c r="G630" s="8"/>
      <c r="H630" s="8"/>
    </row>
    <row r="631" spans="2:8" ht="14.25" customHeight="1" x14ac:dyDescent="0.3">
      <c r="B631" s="15"/>
      <c r="E631" s="26"/>
      <c r="G631" s="8"/>
      <c r="H631" s="8"/>
    </row>
    <row r="632" spans="2:8" ht="14.25" customHeight="1" x14ac:dyDescent="0.3">
      <c r="B632" s="15"/>
      <c r="E632" s="26"/>
      <c r="G632" s="8"/>
      <c r="H632" s="8"/>
    </row>
    <row r="633" spans="2:8" ht="14.25" customHeight="1" x14ac:dyDescent="0.3">
      <c r="B633" s="15"/>
      <c r="E633" s="26"/>
      <c r="G633" s="8"/>
      <c r="H633" s="8"/>
    </row>
    <row r="634" spans="2:8" ht="14.25" customHeight="1" x14ac:dyDescent="0.3">
      <c r="B634" s="15"/>
      <c r="E634" s="26"/>
      <c r="G634" s="8"/>
      <c r="H634" s="8"/>
    </row>
    <row r="635" spans="2:8" ht="14.25" customHeight="1" x14ac:dyDescent="0.3">
      <c r="B635" s="15"/>
      <c r="E635" s="26"/>
      <c r="G635" s="8"/>
      <c r="H635" s="8"/>
    </row>
    <row r="636" spans="2:8" ht="14.25" customHeight="1" x14ac:dyDescent="0.3">
      <c r="B636" s="15"/>
      <c r="E636" s="26"/>
      <c r="G636" s="8"/>
      <c r="H636" s="8"/>
    </row>
    <row r="637" spans="2:8" ht="14.25" customHeight="1" x14ac:dyDescent="0.3">
      <c r="B637" s="15"/>
      <c r="E637" s="26"/>
      <c r="G637" s="8"/>
      <c r="H637" s="8"/>
    </row>
    <row r="638" spans="2:8" ht="14.25" customHeight="1" x14ac:dyDescent="0.3">
      <c r="B638" s="15"/>
      <c r="E638" s="26"/>
      <c r="G638" s="8"/>
      <c r="H638" s="8"/>
    </row>
    <row r="639" spans="2:8" ht="14.25" customHeight="1" x14ac:dyDescent="0.3">
      <c r="B639" s="15"/>
      <c r="E639" s="26"/>
      <c r="G639" s="8"/>
      <c r="H639" s="8"/>
    </row>
    <row r="640" spans="2:8" ht="14.25" customHeight="1" x14ac:dyDescent="0.3">
      <c r="B640" s="15"/>
      <c r="E640" s="26"/>
      <c r="G640" s="8"/>
      <c r="H640" s="8"/>
    </row>
    <row r="641" spans="2:8" ht="14.25" customHeight="1" x14ac:dyDescent="0.3">
      <c r="B641" s="15"/>
      <c r="E641" s="26"/>
      <c r="G641" s="8"/>
      <c r="H641" s="8"/>
    </row>
    <row r="642" spans="2:8" ht="14.25" customHeight="1" x14ac:dyDescent="0.3">
      <c r="B642" s="15"/>
      <c r="E642" s="26"/>
      <c r="G642" s="8"/>
      <c r="H642" s="8"/>
    </row>
    <row r="643" spans="2:8" ht="14.25" customHeight="1" x14ac:dyDescent="0.3">
      <c r="B643" s="15"/>
      <c r="E643" s="26"/>
      <c r="G643" s="8"/>
      <c r="H643" s="8"/>
    </row>
    <row r="644" spans="2:8" ht="14.25" customHeight="1" x14ac:dyDescent="0.3">
      <c r="B644" s="15"/>
      <c r="E644" s="26"/>
      <c r="G644" s="8"/>
      <c r="H644" s="8"/>
    </row>
    <row r="645" spans="2:8" ht="14.25" customHeight="1" x14ac:dyDescent="0.3">
      <c r="B645" s="15"/>
      <c r="E645" s="26"/>
      <c r="G645" s="8"/>
      <c r="H645" s="8"/>
    </row>
    <row r="646" spans="2:8" ht="14.25" customHeight="1" x14ac:dyDescent="0.3">
      <c r="B646" s="15"/>
      <c r="E646" s="26"/>
      <c r="G646" s="8"/>
      <c r="H646" s="8"/>
    </row>
    <row r="647" spans="2:8" ht="14.25" customHeight="1" x14ac:dyDescent="0.3">
      <c r="B647" s="15"/>
      <c r="E647" s="26"/>
      <c r="G647" s="8"/>
      <c r="H647" s="8"/>
    </row>
    <row r="648" spans="2:8" ht="14.25" customHeight="1" x14ac:dyDescent="0.3">
      <c r="B648" s="15"/>
      <c r="E648" s="26"/>
      <c r="G648" s="8"/>
      <c r="H648" s="8"/>
    </row>
    <row r="649" spans="2:8" ht="14.25" customHeight="1" x14ac:dyDescent="0.3">
      <c r="B649" s="15"/>
      <c r="E649" s="26"/>
      <c r="G649" s="8"/>
      <c r="H649" s="8"/>
    </row>
    <row r="650" spans="2:8" ht="14.25" customHeight="1" x14ac:dyDescent="0.3">
      <c r="B650" s="15"/>
      <c r="E650" s="26"/>
      <c r="G650" s="8"/>
      <c r="H650" s="8"/>
    </row>
    <row r="651" spans="2:8" ht="14.25" customHeight="1" x14ac:dyDescent="0.3">
      <c r="B651" s="15"/>
      <c r="E651" s="26"/>
      <c r="G651" s="8"/>
      <c r="H651" s="8"/>
    </row>
    <row r="652" spans="2:8" ht="14.25" customHeight="1" x14ac:dyDescent="0.3">
      <c r="B652" s="15"/>
      <c r="E652" s="26"/>
      <c r="G652" s="8"/>
      <c r="H652" s="8"/>
    </row>
    <row r="653" spans="2:8" ht="14.25" customHeight="1" x14ac:dyDescent="0.3">
      <c r="B653" s="15"/>
      <c r="E653" s="26"/>
      <c r="G653" s="8"/>
      <c r="H653" s="8"/>
    </row>
    <row r="654" spans="2:8" ht="14.25" customHeight="1" x14ac:dyDescent="0.3">
      <c r="B654" s="15"/>
      <c r="E654" s="26"/>
      <c r="G654" s="8"/>
      <c r="H654" s="8"/>
    </row>
    <row r="655" spans="2:8" ht="14.25" customHeight="1" x14ac:dyDescent="0.3">
      <c r="B655" s="15"/>
      <c r="E655" s="26"/>
      <c r="G655" s="8"/>
      <c r="H655" s="8"/>
    </row>
    <row r="656" spans="2:8" ht="14.25" customHeight="1" x14ac:dyDescent="0.3">
      <c r="B656" s="15"/>
      <c r="E656" s="26"/>
      <c r="G656" s="8"/>
      <c r="H656" s="8"/>
    </row>
    <row r="657" spans="2:8" ht="14.25" customHeight="1" x14ac:dyDescent="0.3">
      <c r="B657" s="15"/>
      <c r="E657" s="26"/>
      <c r="G657" s="8"/>
      <c r="H657" s="8"/>
    </row>
    <row r="658" spans="2:8" ht="14.25" customHeight="1" x14ac:dyDescent="0.3">
      <c r="B658" s="15"/>
      <c r="E658" s="26"/>
      <c r="G658" s="8"/>
      <c r="H658" s="8"/>
    </row>
    <row r="659" spans="2:8" ht="14.25" customHeight="1" x14ac:dyDescent="0.3">
      <c r="B659" s="15"/>
      <c r="E659" s="26"/>
      <c r="G659" s="8"/>
      <c r="H659" s="8"/>
    </row>
    <row r="660" spans="2:8" ht="14.25" customHeight="1" x14ac:dyDescent="0.3">
      <c r="B660" s="15"/>
      <c r="E660" s="26"/>
      <c r="G660" s="8"/>
      <c r="H660" s="8"/>
    </row>
    <row r="661" spans="2:8" ht="14.25" customHeight="1" x14ac:dyDescent="0.3">
      <c r="B661" s="15"/>
      <c r="E661" s="26"/>
      <c r="G661" s="8"/>
      <c r="H661" s="8"/>
    </row>
    <row r="662" spans="2:8" ht="14.25" customHeight="1" x14ac:dyDescent="0.3">
      <c r="B662" s="15"/>
      <c r="E662" s="26"/>
      <c r="G662" s="8"/>
      <c r="H662" s="8"/>
    </row>
    <row r="663" spans="2:8" ht="14.25" customHeight="1" x14ac:dyDescent="0.3">
      <c r="B663" s="15"/>
      <c r="E663" s="26"/>
      <c r="G663" s="8"/>
      <c r="H663" s="8"/>
    </row>
    <row r="664" spans="2:8" ht="14.25" customHeight="1" x14ac:dyDescent="0.3">
      <c r="B664" s="15"/>
      <c r="E664" s="26"/>
      <c r="G664" s="8"/>
      <c r="H664" s="8"/>
    </row>
    <row r="665" spans="2:8" ht="14.25" customHeight="1" x14ac:dyDescent="0.3">
      <c r="B665" s="15"/>
      <c r="E665" s="26"/>
      <c r="G665" s="8"/>
      <c r="H665" s="8"/>
    </row>
    <row r="666" spans="2:8" ht="14.25" customHeight="1" x14ac:dyDescent="0.3">
      <c r="B666" s="15"/>
      <c r="E666" s="26"/>
      <c r="G666" s="8"/>
      <c r="H666" s="8"/>
    </row>
    <row r="667" spans="2:8" ht="14.25" customHeight="1" x14ac:dyDescent="0.3">
      <c r="B667" s="15"/>
      <c r="E667" s="26"/>
      <c r="G667" s="8"/>
      <c r="H667" s="8"/>
    </row>
    <row r="668" spans="2:8" ht="14.25" customHeight="1" x14ac:dyDescent="0.3">
      <c r="B668" s="15"/>
      <c r="E668" s="26"/>
      <c r="G668" s="8"/>
      <c r="H668" s="8"/>
    </row>
    <row r="669" spans="2:8" ht="14.25" customHeight="1" x14ac:dyDescent="0.3">
      <c r="B669" s="15"/>
      <c r="E669" s="26"/>
      <c r="G669" s="8"/>
      <c r="H669" s="8"/>
    </row>
    <row r="670" spans="2:8" ht="14.25" customHeight="1" x14ac:dyDescent="0.3">
      <c r="B670" s="15"/>
      <c r="E670" s="26"/>
      <c r="G670" s="8"/>
      <c r="H670" s="8"/>
    </row>
    <row r="671" spans="2:8" ht="14.25" customHeight="1" x14ac:dyDescent="0.3">
      <c r="B671" s="15"/>
      <c r="E671" s="26"/>
      <c r="G671" s="8"/>
      <c r="H671" s="8"/>
    </row>
    <row r="672" spans="2:8" ht="14.25" customHeight="1" x14ac:dyDescent="0.3">
      <c r="B672" s="15"/>
      <c r="E672" s="26"/>
      <c r="G672" s="8"/>
      <c r="H672" s="8"/>
    </row>
    <row r="673" spans="2:8" ht="14.25" customHeight="1" x14ac:dyDescent="0.3">
      <c r="B673" s="15"/>
      <c r="E673" s="26"/>
      <c r="G673" s="8"/>
      <c r="H673" s="8"/>
    </row>
    <row r="674" spans="2:8" ht="14.25" customHeight="1" x14ac:dyDescent="0.3">
      <c r="B674" s="15"/>
      <c r="E674" s="26"/>
      <c r="G674" s="8"/>
      <c r="H674" s="8"/>
    </row>
    <row r="675" spans="2:8" ht="14.25" customHeight="1" x14ac:dyDescent="0.3">
      <c r="B675" s="15"/>
      <c r="E675" s="26"/>
      <c r="G675" s="8"/>
      <c r="H675" s="8"/>
    </row>
    <row r="676" spans="2:8" ht="14.25" customHeight="1" x14ac:dyDescent="0.3">
      <c r="B676" s="15"/>
      <c r="E676" s="26"/>
      <c r="G676" s="8"/>
      <c r="H676" s="8"/>
    </row>
    <row r="677" spans="2:8" ht="14.25" customHeight="1" x14ac:dyDescent="0.3">
      <c r="B677" s="15"/>
      <c r="E677" s="26"/>
      <c r="G677" s="8"/>
      <c r="H677" s="8"/>
    </row>
    <row r="678" spans="2:8" ht="14.25" customHeight="1" x14ac:dyDescent="0.3">
      <c r="B678" s="15"/>
      <c r="E678" s="26"/>
      <c r="G678" s="8"/>
      <c r="H678" s="8"/>
    </row>
    <row r="679" spans="2:8" ht="14.25" customHeight="1" x14ac:dyDescent="0.3">
      <c r="B679" s="15"/>
      <c r="E679" s="26"/>
      <c r="G679" s="8"/>
      <c r="H679" s="8"/>
    </row>
    <row r="680" spans="2:8" ht="14.25" customHeight="1" x14ac:dyDescent="0.3">
      <c r="B680" s="15"/>
      <c r="E680" s="26"/>
      <c r="G680" s="8"/>
      <c r="H680" s="8"/>
    </row>
    <row r="681" spans="2:8" ht="14.25" customHeight="1" x14ac:dyDescent="0.3">
      <c r="B681" s="15"/>
      <c r="E681" s="26"/>
      <c r="G681" s="8"/>
      <c r="H681" s="8"/>
    </row>
    <row r="682" spans="2:8" ht="14.25" customHeight="1" x14ac:dyDescent="0.3">
      <c r="B682" s="15"/>
      <c r="E682" s="26"/>
      <c r="G682" s="8"/>
      <c r="H682" s="8"/>
    </row>
    <row r="683" spans="2:8" ht="14.25" customHeight="1" x14ac:dyDescent="0.3">
      <c r="B683" s="15"/>
      <c r="E683" s="26"/>
      <c r="G683" s="8"/>
      <c r="H683" s="8"/>
    </row>
    <row r="684" spans="2:8" ht="14.25" customHeight="1" x14ac:dyDescent="0.3">
      <c r="B684" s="15"/>
      <c r="E684" s="26"/>
      <c r="G684" s="8"/>
      <c r="H684" s="8"/>
    </row>
    <row r="685" spans="2:8" ht="14.25" customHeight="1" x14ac:dyDescent="0.3">
      <c r="B685" s="15"/>
      <c r="E685" s="26"/>
      <c r="G685" s="8"/>
      <c r="H685" s="8"/>
    </row>
    <row r="686" spans="2:8" ht="14.25" customHeight="1" x14ac:dyDescent="0.3">
      <c r="B686" s="15"/>
      <c r="E686" s="26"/>
      <c r="G686" s="8"/>
      <c r="H686" s="8"/>
    </row>
    <row r="687" spans="2:8" ht="14.25" customHeight="1" x14ac:dyDescent="0.3">
      <c r="B687" s="15"/>
      <c r="E687" s="26"/>
      <c r="G687" s="8"/>
      <c r="H687" s="8"/>
    </row>
    <row r="688" spans="2:8" ht="14.25" customHeight="1" x14ac:dyDescent="0.3">
      <c r="B688" s="15"/>
      <c r="E688" s="26"/>
      <c r="G688" s="8"/>
      <c r="H688" s="8"/>
    </row>
    <row r="689" spans="2:8" ht="14.25" customHeight="1" x14ac:dyDescent="0.3">
      <c r="B689" s="15"/>
      <c r="E689" s="26"/>
      <c r="G689" s="8"/>
      <c r="H689" s="8"/>
    </row>
    <row r="690" spans="2:8" ht="14.25" customHeight="1" x14ac:dyDescent="0.3">
      <c r="B690" s="15"/>
      <c r="E690" s="26"/>
      <c r="G690" s="8"/>
      <c r="H690" s="8"/>
    </row>
    <row r="691" spans="2:8" ht="14.25" customHeight="1" x14ac:dyDescent="0.3">
      <c r="B691" s="15"/>
      <c r="E691" s="26"/>
      <c r="G691" s="8"/>
      <c r="H691" s="8"/>
    </row>
    <row r="692" spans="2:8" ht="14.25" customHeight="1" x14ac:dyDescent="0.3">
      <c r="B692" s="15"/>
      <c r="E692" s="26"/>
      <c r="G692" s="8"/>
      <c r="H692" s="8"/>
    </row>
    <row r="693" spans="2:8" ht="14.25" customHeight="1" x14ac:dyDescent="0.3">
      <c r="B693" s="15"/>
      <c r="E693" s="26"/>
      <c r="G693" s="8"/>
      <c r="H693" s="8"/>
    </row>
    <row r="694" spans="2:8" ht="14.25" customHeight="1" x14ac:dyDescent="0.3">
      <c r="B694" s="15"/>
      <c r="E694" s="26"/>
      <c r="G694" s="8"/>
      <c r="H694" s="8"/>
    </row>
    <row r="695" spans="2:8" ht="14.25" customHeight="1" x14ac:dyDescent="0.3">
      <c r="B695" s="15"/>
      <c r="E695" s="26"/>
      <c r="G695" s="8"/>
      <c r="H695" s="8"/>
    </row>
    <row r="696" spans="2:8" ht="14.25" customHeight="1" x14ac:dyDescent="0.3">
      <c r="B696" s="15"/>
      <c r="E696" s="26"/>
      <c r="G696" s="8"/>
      <c r="H696" s="8"/>
    </row>
    <row r="697" spans="2:8" ht="14.25" customHeight="1" x14ac:dyDescent="0.3">
      <c r="B697" s="15"/>
      <c r="E697" s="26"/>
      <c r="G697" s="8"/>
      <c r="H697" s="8"/>
    </row>
    <row r="698" spans="2:8" ht="14.25" customHeight="1" x14ac:dyDescent="0.3">
      <c r="B698" s="15"/>
      <c r="E698" s="26"/>
      <c r="G698" s="8"/>
      <c r="H698" s="8"/>
    </row>
    <row r="699" spans="2:8" ht="14.25" customHeight="1" x14ac:dyDescent="0.3">
      <c r="B699" s="15"/>
      <c r="E699" s="26"/>
      <c r="G699" s="8"/>
      <c r="H699" s="8"/>
    </row>
    <row r="700" spans="2:8" ht="14.25" customHeight="1" x14ac:dyDescent="0.3">
      <c r="B700" s="15"/>
      <c r="E700" s="26"/>
      <c r="G700" s="8"/>
      <c r="H700" s="8"/>
    </row>
    <row r="701" spans="2:8" ht="14.25" customHeight="1" x14ac:dyDescent="0.3">
      <c r="B701" s="15"/>
      <c r="E701" s="26"/>
      <c r="G701" s="8"/>
      <c r="H701" s="8"/>
    </row>
    <row r="702" spans="2:8" ht="14.25" customHeight="1" x14ac:dyDescent="0.3">
      <c r="B702" s="15"/>
      <c r="E702" s="26"/>
      <c r="G702" s="8"/>
      <c r="H702" s="8"/>
    </row>
    <row r="703" spans="2:8" ht="14.25" customHeight="1" x14ac:dyDescent="0.3">
      <c r="B703" s="15"/>
      <c r="E703" s="26"/>
      <c r="G703" s="8"/>
      <c r="H703" s="8"/>
    </row>
    <row r="704" spans="2:8" ht="14.25" customHeight="1" x14ac:dyDescent="0.3">
      <c r="B704" s="15"/>
      <c r="E704" s="26"/>
      <c r="G704" s="8"/>
      <c r="H704" s="8"/>
    </row>
    <row r="705" spans="2:8" ht="14.25" customHeight="1" x14ac:dyDescent="0.3">
      <c r="B705" s="15"/>
      <c r="E705" s="26"/>
      <c r="G705" s="8"/>
      <c r="H705" s="8"/>
    </row>
    <row r="706" spans="2:8" ht="14.25" customHeight="1" x14ac:dyDescent="0.3">
      <c r="B706" s="15"/>
      <c r="E706" s="26"/>
      <c r="G706" s="8"/>
      <c r="H706" s="8"/>
    </row>
    <row r="707" spans="2:8" ht="14.25" customHeight="1" x14ac:dyDescent="0.3">
      <c r="B707" s="15"/>
      <c r="E707" s="26"/>
      <c r="G707" s="8"/>
      <c r="H707" s="8"/>
    </row>
    <row r="708" spans="2:8" ht="14.25" customHeight="1" x14ac:dyDescent="0.3">
      <c r="B708" s="15"/>
      <c r="E708" s="26"/>
      <c r="G708" s="8"/>
      <c r="H708" s="8"/>
    </row>
    <row r="709" spans="2:8" ht="14.25" customHeight="1" x14ac:dyDescent="0.3">
      <c r="B709" s="15"/>
      <c r="E709" s="26"/>
      <c r="G709" s="8"/>
      <c r="H709" s="8"/>
    </row>
    <row r="710" spans="2:8" ht="14.25" customHeight="1" x14ac:dyDescent="0.3">
      <c r="B710" s="15"/>
      <c r="E710" s="26"/>
      <c r="G710" s="8"/>
      <c r="H710" s="8"/>
    </row>
    <row r="711" spans="2:8" ht="14.25" customHeight="1" x14ac:dyDescent="0.3">
      <c r="B711" s="15"/>
      <c r="E711" s="26"/>
      <c r="G711" s="8"/>
      <c r="H711" s="8"/>
    </row>
    <row r="712" spans="2:8" ht="14.25" customHeight="1" x14ac:dyDescent="0.3">
      <c r="B712" s="15"/>
      <c r="E712" s="26"/>
      <c r="G712" s="8"/>
      <c r="H712" s="8"/>
    </row>
    <row r="713" spans="2:8" ht="14.25" customHeight="1" x14ac:dyDescent="0.3">
      <c r="B713" s="15"/>
      <c r="E713" s="26"/>
      <c r="G713" s="8"/>
      <c r="H713" s="8"/>
    </row>
    <row r="714" spans="2:8" ht="14.25" customHeight="1" x14ac:dyDescent="0.3">
      <c r="B714" s="15"/>
      <c r="E714" s="26"/>
      <c r="G714" s="8"/>
      <c r="H714" s="8"/>
    </row>
    <row r="715" spans="2:8" ht="14.25" customHeight="1" x14ac:dyDescent="0.3">
      <c r="B715" s="15"/>
      <c r="E715" s="26"/>
      <c r="G715" s="8"/>
      <c r="H715" s="8"/>
    </row>
    <row r="716" spans="2:8" ht="14.25" customHeight="1" x14ac:dyDescent="0.3">
      <c r="B716" s="15"/>
      <c r="E716" s="26"/>
      <c r="G716" s="8"/>
      <c r="H716" s="8"/>
    </row>
    <row r="717" spans="2:8" ht="14.25" customHeight="1" x14ac:dyDescent="0.3">
      <c r="B717" s="15"/>
      <c r="E717" s="26"/>
      <c r="G717" s="8"/>
      <c r="H717" s="8"/>
    </row>
    <row r="718" spans="2:8" ht="14.25" customHeight="1" x14ac:dyDescent="0.3">
      <c r="B718" s="15"/>
      <c r="E718" s="26"/>
      <c r="G718" s="8"/>
      <c r="H718" s="8"/>
    </row>
    <row r="719" spans="2:8" ht="14.25" customHeight="1" x14ac:dyDescent="0.3">
      <c r="B719" s="15"/>
      <c r="E719" s="26"/>
      <c r="G719" s="8"/>
      <c r="H719" s="8"/>
    </row>
    <row r="720" spans="2:8" ht="14.25" customHeight="1" x14ac:dyDescent="0.3">
      <c r="B720" s="15"/>
      <c r="E720" s="26"/>
      <c r="G720" s="8"/>
      <c r="H720" s="8"/>
    </row>
    <row r="721" spans="2:8" ht="14.25" customHeight="1" x14ac:dyDescent="0.3">
      <c r="B721" s="15"/>
      <c r="E721" s="26"/>
      <c r="G721" s="8"/>
      <c r="H721" s="8"/>
    </row>
    <row r="722" spans="2:8" ht="14.25" customHeight="1" x14ac:dyDescent="0.3">
      <c r="B722" s="15"/>
      <c r="E722" s="26"/>
      <c r="G722" s="8"/>
      <c r="H722" s="8"/>
    </row>
    <row r="723" spans="2:8" ht="14.25" customHeight="1" x14ac:dyDescent="0.3">
      <c r="B723" s="15"/>
      <c r="E723" s="26"/>
      <c r="G723" s="8"/>
      <c r="H723" s="8"/>
    </row>
    <row r="724" spans="2:8" ht="14.25" customHeight="1" x14ac:dyDescent="0.3">
      <c r="B724" s="15"/>
      <c r="E724" s="26"/>
      <c r="G724" s="8"/>
      <c r="H724" s="8"/>
    </row>
    <row r="725" spans="2:8" ht="14.25" customHeight="1" x14ac:dyDescent="0.3">
      <c r="B725" s="15"/>
      <c r="E725" s="26"/>
      <c r="G725" s="8"/>
      <c r="H725" s="8"/>
    </row>
    <row r="726" spans="2:8" ht="14.25" customHeight="1" x14ac:dyDescent="0.3">
      <c r="B726" s="15"/>
      <c r="E726" s="26"/>
      <c r="G726" s="8"/>
      <c r="H726" s="8"/>
    </row>
    <row r="727" spans="2:8" ht="14.25" customHeight="1" x14ac:dyDescent="0.3">
      <c r="B727" s="15"/>
      <c r="E727" s="26"/>
      <c r="G727" s="8"/>
      <c r="H727" s="8"/>
    </row>
    <row r="728" spans="2:8" ht="14.25" customHeight="1" x14ac:dyDescent="0.3">
      <c r="B728" s="15"/>
      <c r="E728" s="26"/>
      <c r="G728" s="8"/>
      <c r="H728" s="8"/>
    </row>
    <row r="729" spans="2:8" ht="14.25" customHeight="1" x14ac:dyDescent="0.3">
      <c r="B729" s="15"/>
      <c r="E729" s="26"/>
      <c r="G729" s="8"/>
      <c r="H729" s="8"/>
    </row>
    <row r="730" spans="2:8" ht="14.25" customHeight="1" x14ac:dyDescent="0.3">
      <c r="B730" s="15"/>
      <c r="E730" s="26"/>
      <c r="G730" s="8"/>
      <c r="H730" s="8"/>
    </row>
    <row r="731" spans="2:8" ht="14.25" customHeight="1" x14ac:dyDescent="0.3">
      <c r="B731" s="15"/>
      <c r="E731" s="26"/>
      <c r="G731" s="8"/>
      <c r="H731" s="8"/>
    </row>
    <row r="732" spans="2:8" ht="14.25" customHeight="1" x14ac:dyDescent="0.3">
      <c r="B732" s="15"/>
      <c r="E732" s="26"/>
      <c r="G732" s="8"/>
      <c r="H732" s="8"/>
    </row>
    <row r="733" spans="2:8" ht="14.25" customHeight="1" x14ac:dyDescent="0.3">
      <c r="B733" s="15"/>
      <c r="E733" s="26"/>
      <c r="G733" s="8"/>
      <c r="H733" s="8"/>
    </row>
    <row r="734" spans="2:8" ht="14.25" customHeight="1" x14ac:dyDescent="0.3">
      <c r="B734" s="15"/>
      <c r="E734" s="26"/>
      <c r="G734" s="8"/>
      <c r="H734" s="8"/>
    </row>
    <row r="735" spans="2:8" ht="14.25" customHeight="1" x14ac:dyDescent="0.3">
      <c r="B735" s="15"/>
      <c r="E735" s="26"/>
      <c r="G735" s="8"/>
      <c r="H735" s="8"/>
    </row>
    <row r="736" spans="2:8" ht="14.25" customHeight="1" x14ac:dyDescent="0.3">
      <c r="B736" s="15"/>
      <c r="E736" s="26"/>
      <c r="G736" s="8"/>
      <c r="H736" s="8"/>
    </row>
    <row r="737" spans="2:8" ht="14.25" customHeight="1" x14ac:dyDescent="0.3">
      <c r="B737" s="15"/>
      <c r="E737" s="26"/>
      <c r="G737" s="8"/>
      <c r="H737" s="8"/>
    </row>
    <row r="738" spans="2:8" ht="14.25" customHeight="1" x14ac:dyDescent="0.3">
      <c r="B738" s="15"/>
      <c r="E738" s="26"/>
      <c r="G738" s="8"/>
      <c r="H738" s="8"/>
    </row>
    <row r="739" spans="2:8" ht="14.25" customHeight="1" x14ac:dyDescent="0.3">
      <c r="B739" s="15"/>
      <c r="E739" s="26"/>
      <c r="G739" s="8"/>
      <c r="H739" s="8"/>
    </row>
    <row r="740" spans="2:8" ht="14.25" customHeight="1" x14ac:dyDescent="0.3">
      <c r="B740" s="15"/>
      <c r="E740" s="26"/>
      <c r="G740" s="8"/>
      <c r="H740" s="8"/>
    </row>
    <row r="741" spans="2:8" ht="14.25" customHeight="1" x14ac:dyDescent="0.3">
      <c r="B741" s="15"/>
      <c r="E741" s="26"/>
      <c r="G741" s="8"/>
      <c r="H741" s="8"/>
    </row>
    <row r="742" spans="2:8" ht="14.25" customHeight="1" x14ac:dyDescent="0.3">
      <c r="B742" s="15"/>
      <c r="E742" s="26"/>
      <c r="G742" s="8"/>
      <c r="H742" s="8"/>
    </row>
    <row r="743" spans="2:8" ht="14.25" customHeight="1" x14ac:dyDescent="0.3">
      <c r="B743" s="15"/>
      <c r="E743" s="26"/>
      <c r="G743" s="8"/>
      <c r="H743" s="8"/>
    </row>
    <row r="744" spans="2:8" ht="14.25" customHeight="1" x14ac:dyDescent="0.3">
      <c r="B744" s="15"/>
      <c r="E744" s="26"/>
      <c r="G744" s="8"/>
      <c r="H744" s="8"/>
    </row>
    <row r="745" spans="2:8" ht="14.25" customHeight="1" x14ac:dyDescent="0.3">
      <c r="B745" s="15"/>
      <c r="E745" s="26"/>
      <c r="G745" s="8"/>
      <c r="H745" s="8"/>
    </row>
    <row r="746" spans="2:8" ht="14.25" customHeight="1" x14ac:dyDescent="0.3">
      <c r="B746" s="15"/>
      <c r="E746" s="26"/>
      <c r="G746" s="8"/>
      <c r="H746" s="8"/>
    </row>
    <row r="747" spans="2:8" ht="14.25" customHeight="1" x14ac:dyDescent="0.3">
      <c r="B747" s="15"/>
      <c r="E747" s="26"/>
      <c r="G747" s="8"/>
      <c r="H747" s="8"/>
    </row>
    <row r="748" spans="2:8" ht="14.25" customHeight="1" x14ac:dyDescent="0.3">
      <c r="B748" s="15"/>
      <c r="E748" s="26"/>
      <c r="G748" s="8"/>
      <c r="H748" s="8"/>
    </row>
    <row r="749" spans="2:8" ht="14.25" customHeight="1" x14ac:dyDescent="0.3">
      <c r="B749" s="15"/>
      <c r="E749" s="26"/>
      <c r="G749" s="8"/>
      <c r="H749" s="8"/>
    </row>
    <row r="750" spans="2:8" ht="14.25" customHeight="1" x14ac:dyDescent="0.3">
      <c r="B750" s="15"/>
      <c r="E750" s="26"/>
      <c r="G750" s="8"/>
      <c r="H750" s="8"/>
    </row>
    <row r="751" spans="2:8" ht="14.25" customHeight="1" x14ac:dyDescent="0.3">
      <c r="B751" s="15"/>
      <c r="E751" s="26"/>
      <c r="G751" s="8"/>
      <c r="H751" s="8"/>
    </row>
    <row r="752" spans="2:8" ht="14.25" customHeight="1" x14ac:dyDescent="0.3">
      <c r="B752" s="15"/>
      <c r="E752" s="26"/>
      <c r="G752" s="8"/>
      <c r="H752" s="8"/>
    </row>
    <row r="753" spans="2:8" ht="14.25" customHeight="1" x14ac:dyDescent="0.3">
      <c r="B753" s="15"/>
      <c r="E753" s="26"/>
      <c r="G753" s="8"/>
      <c r="H753" s="8"/>
    </row>
    <row r="754" spans="2:8" ht="14.25" customHeight="1" x14ac:dyDescent="0.3">
      <c r="B754" s="15"/>
      <c r="E754" s="26"/>
      <c r="G754" s="8"/>
      <c r="H754" s="8"/>
    </row>
    <row r="755" spans="2:8" ht="14.25" customHeight="1" x14ac:dyDescent="0.3">
      <c r="B755" s="15"/>
      <c r="E755" s="26"/>
      <c r="G755" s="8"/>
      <c r="H755" s="8"/>
    </row>
    <row r="756" spans="2:8" ht="14.25" customHeight="1" x14ac:dyDescent="0.3">
      <c r="B756" s="15"/>
      <c r="E756" s="26"/>
      <c r="G756" s="8"/>
      <c r="H756" s="8"/>
    </row>
    <row r="757" spans="2:8" ht="14.25" customHeight="1" x14ac:dyDescent="0.3">
      <c r="B757" s="15"/>
      <c r="E757" s="26"/>
      <c r="G757" s="8"/>
      <c r="H757" s="8"/>
    </row>
    <row r="758" spans="2:8" ht="14.25" customHeight="1" x14ac:dyDescent="0.3">
      <c r="B758" s="15"/>
      <c r="E758" s="26"/>
      <c r="G758" s="8"/>
      <c r="H758" s="8"/>
    </row>
    <row r="759" spans="2:8" ht="14.25" customHeight="1" x14ac:dyDescent="0.3">
      <c r="B759" s="15"/>
      <c r="E759" s="26"/>
      <c r="G759" s="8"/>
      <c r="H759" s="8"/>
    </row>
    <row r="760" spans="2:8" ht="14.25" customHeight="1" x14ac:dyDescent="0.3">
      <c r="B760" s="15"/>
      <c r="E760" s="26"/>
      <c r="G760" s="8"/>
      <c r="H760" s="8"/>
    </row>
    <row r="761" spans="2:8" ht="14.25" customHeight="1" x14ac:dyDescent="0.3">
      <c r="B761" s="15"/>
      <c r="E761" s="26"/>
      <c r="G761" s="8"/>
      <c r="H761" s="8"/>
    </row>
    <row r="762" spans="2:8" ht="14.25" customHeight="1" x14ac:dyDescent="0.3">
      <c r="B762" s="15"/>
      <c r="E762" s="26"/>
      <c r="G762" s="8"/>
      <c r="H762" s="8"/>
    </row>
    <row r="763" spans="2:8" ht="14.25" customHeight="1" x14ac:dyDescent="0.3">
      <c r="B763" s="15"/>
      <c r="E763" s="26"/>
      <c r="G763" s="8"/>
      <c r="H763" s="8"/>
    </row>
    <row r="764" spans="2:8" ht="14.25" customHeight="1" x14ac:dyDescent="0.3">
      <c r="B764" s="15"/>
      <c r="E764" s="26"/>
      <c r="G764" s="8"/>
      <c r="H764" s="8"/>
    </row>
    <row r="765" spans="2:8" ht="14.25" customHeight="1" x14ac:dyDescent="0.3">
      <c r="B765" s="15"/>
      <c r="E765" s="26"/>
      <c r="G765" s="8"/>
      <c r="H765" s="8"/>
    </row>
    <row r="766" spans="2:8" ht="14.25" customHeight="1" x14ac:dyDescent="0.3">
      <c r="B766" s="15"/>
      <c r="E766" s="26"/>
      <c r="G766" s="8"/>
      <c r="H766" s="8"/>
    </row>
    <row r="767" spans="2:8" ht="14.25" customHeight="1" x14ac:dyDescent="0.3">
      <c r="B767" s="15"/>
      <c r="E767" s="26"/>
      <c r="G767" s="8"/>
      <c r="H767" s="8"/>
    </row>
    <row r="768" spans="2:8" ht="14.25" customHeight="1" x14ac:dyDescent="0.3">
      <c r="B768" s="15"/>
      <c r="E768" s="26"/>
      <c r="G768" s="8"/>
      <c r="H768" s="8"/>
    </row>
    <row r="769" spans="2:8" ht="14.25" customHeight="1" x14ac:dyDescent="0.3">
      <c r="B769" s="15"/>
      <c r="E769" s="26"/>
      <c r="G769" s="8"/>
      <c r="H769" s="8"/>
    </row>
    <row r="770" spans="2:8" ht="14.25" customHeight="1" x14ac:dyDescent="0.3">
      <c r="B770" s="15"/>
      <c r="E770" s="26"/>
      <c r="G770" s="8"/>
      <c r="H770" s="8"/>
    </row>
    <row r="771" spans="2:8" ht="14.25" customHeight="1" x14ac:dyDescent="0.3">
      <c r="B771" s="15"/>
      <c r="E771" s="26"/>
      <c r="G771" s="8"/>
      <c r="H771" s="8"/>
    </row>
    <row r="772" spans="2:8" ht="14.25" customHeight="1" x14ac:dyDescent="0.3">
      <c r="B772" s="15"/>
      <c r="E772" s="26"/>
      <c r="G772" s="8"/>
      <c r="H772" s="8"/>
    </row>
    <row r="773" spans="2:8" ht="14.25" customHeight="1" x14ac:dyDescent="0.3">
      <c r="B773" s="15"/>
      <c r="E773" s="26"/>
      <c r="G773" s="8"/>
      <c r="H773" s="8"/>
    </row>
    <row r="774" spans="2:8" ht="14.25" customHeight="1" x14ac:dyDescent="0.3">
      <c r="B774" s="15"/>
      <c r="E774" s="26"/>
      <c r="G774" s="8"/>
      <c r="H774" s="8"/>
    </row>
    <row r="775" spans="2:8" ht="14.25" customHeight="1" x14ac:dyDescent="0.3">
      <c r="B775" s="15"/>
      <c r="E775" s="26"/>
      <c r="G775" s="8"/>
      <c r="H775" s="8"/>
    </row>
    <row r="776" spans="2:8" ht="14.25" customHeight="1" x14ac:dyDescent="0.3">
      <c r="B776" s="15"/>
      <c r="E776" s="26"/>
      <c r="G776" s="8"/>
      <c r="H776" s="8"/>
    </row>
    <row r="777" spans="2:8" ht="14.25" customHeight="1" x14ac:dyDescent="0.3">
      <c r="B777" s="15"/>
      <c r="E777" s="26"/>
      <c r="G777" s="8"/>
      <c r="H777" s="8"/>
    </row>
    <row r="778" spans="2:8" ht="14.25" customHeight="1" x14ac:dyDescent="0.3">
      <c r="B778" s="15"/>
      <c r="E778" s="26"/>
      <c r="G778" s="8"/>
      <c r="H778" s="8"/>
    </row>
    <row r="779" spans="2:8" ht="14.25" customHeight="1" x14ac:dyDescent="0.3">
      <c r="B779" s="15"/>
      <c r="E779" s="26"/>
      <c r="G779" s="8"/>
      <c r="H779" s="8"/>
    </row>
    <row r="780" spans="2:8" ht="14.25" customHeight="1" x14ac:dyDescent="0.3">
      <c r="B780" s="15"/>
      <c r="E780" s="26"/>
      <c r="G780" s="8"/>
      <c r="H780" s="8"/>
    </row>
    <row r="781" spans="2:8" ht="14.25" customHeight="1" x14ac:dyDescent="0.3">
      <c r="B781" s="15"/>
      <c r="E781" s="26"/>
      <c r="G781" s="8"/>
      <c r="H781" s="8"/>
    </row>
    <row r="782" spans="2:8" ht="14.25" customHeight="1" x14ac:dyDescent="0.3">
      <c r="B782" s="15"/>
      <c r="E782" s="26"/>
      <c r="G782" s="8"/>
      <c r="H782" s="8"/>
    </row>
    <row r="783" spans="2:8" ht="14.25" customHeight="1" x14ac:dyDescent="0.3">
      <c r="B783" s="15"/>
      <c r="E783" s="26"/>
      <c r="G783" s="8"/>
      <c r="H783" s="8"/>
    </row>
    <row r="784" spans="2:8" ht="14.25" customHeight="1" x14ac:dyDescent="0.3">
      <c r="B784" s="15"/>
      <c r="E784" s="26"/>
      <c r="G784" s="8"/>
      <c r="H784" s="8"/>
    </row>
    <row r="785" spans="2:8" ht="14.25" customHeight="1" x14ac:dyDescent="0.3">
      <c r="B785" s="15"/>
      <c r="E785" s="26"/>
      <c r="G785" s="8"/>
      <c r="H785" s="8"/>
    </row>
    <row r="786" spans="2:8" ht="14.25" customHeight="1" x14ac:dyDescent="0.3">
      <c r="B786" s="15"/>
      <c r="E786" s="26"/>
      <c r="G786" s="8"/>
      <c r="H786" s="8"/>
    </row>
    <row r="787" spans="2:8" ht="14.25" customHeight="1" x14ac:dyDescent="0.3">
      <c r="B787" s="15"/>
      <c r="E787" s="26"/>
      <c r="G787" s="8"/>
      <c r="H787" s="8"/>
    </row>
    <row r="788" spans="2:8" ht="14.25" customHeight="1" x14ac:dyDescent="0.3">
      <c r="B788" s="15"/>
      <c r="E788" s="26"/>
      <c r="G788" s="8"/>
      <c r="H788" s="8"/>
    </row>
    <row r="789" spans="2:8" ht="14.25" customHeight="1" x14ac:dyDescent="0.3">
      <c r="B789" s="15"/>
      <c r="E789" s="26"/>
      <c r="G789" s="8"/>
      <c r="H789" s="8"/>
    </row>
    <row r="790" spans="2:8" ht="14.25" customHeight="1" x14ac:dyDescent="0.3">
      <c r="B790" s="15"/>
      <c r="E790" s="26"/>
      <c r="G790" s="8"/>
      <c r="H790" s="8"/>
    </row>
    <row r="791" spans="2:8" ht="14.25" customHeight="1" x14ac:dyDescent="0.3">
      <c r="B791" s="15"/>
      <c r="E791" s="26"/>
      <c r="G791" s="8"/>
      <c r="H791" s="8"/>
    </row>
    <row r="792" spans="2:8" ht="14.25" customHeight="1" x14ac:dyDescent="0.3">
      <c r="B792" s="15"/>
      <c r="E792" s="26"/>
      <c r="G792" s="8"/>
      <c r="H792" s="8"/>
    </row>
    <row r="793" spans="2:8" ht="14.25" customHeight="1" x14ac:dyDescent="0.3">
      <c r="B793" s="15"/>
      <c r="E793" s="26"/>
      <c r="G793" s="8"/>
      <c r="H793" s="8"/>
    </row>
    <row r="794" spans="2:8" ht="14.25" customHeight="1" x14ac:dyDescent="0.3">
      <c r="B794" s="15"/>
      <c r="E794" s="26"/>
      <c r="G794" s="8"/>
      <c r="H794" s="8"/>
    </row>
    <row r="795" spans="2:8" ht="14.25" customHeight="1" x14ac:dyDescent="0.3">
      <c r="B795" s="15"/>
      <c r="E795" s="26"/>
      <c r="G795" s="8"/>
      <c r="H795" s="8"/>
    </row>
    <row r="796" spans="2:8" ht="14.25" customHeight="1" x14ac:dyDescent="0.3">
      <c r="B796" s="15"/>
      <c r="E796" s="26"/>
      <c r="G796" s="8"/>
      <c r="H796" s="8"/>
    </row>
    <row r="797" spans="2:8" ht="14.25" customHeight="1" x14ac:dyDescent="0.3">
      <c r="B797" s="15"/>
      <c r="E797" s="26"/>
      <c r="G797" s="8"/>
      <c r="H797" s="8"/>
    </row>
    <row r="798" spans="2:8" ht="14.25" customHeight="1" x14ac:dyDescent="0.3">
      <c r="B798" s="15"/>
      <c r="E798" s="26"/>
      <c r="G798" s="8"/>
      <c r="H798" s="8"/>
    </row>
    <row r="799" spans="2:8" ht="14.25" customHeight="1" x14ac:dyDescent="0.3">
      <c r="B799" s="15"/>
      <c r="E799" s="26"/>
      <c r="G799" s="8"/>
      <c r="H799" s="8"/>
    </row>
    <row r="800" spans="2:8" ht="14.25" customHeight="1" x14ac:dyDescent="0.3">
      <c r="B800" s="15"/>
      <c r="E800" s="26"/>
      <c r="G800" s="8"/>
      <c r="H800" s="8"/>
    </row>
    <row r="801" spans="2:8" ht="14.25" customHeight="1" x14ac:dyDescent="0.3">
      <c r="B801" s="15"/>
      <c r="E801" s="26"/>
      <c r="G801" s="8"/>
      <c r="H801" s="8"/>
    </row>
    <row r="802" spans="2:8" ht="14.25" customHeight="1" x14ac:dyDescent="0.3">
      <c r="B802" s="15"/>
      <c r="E802" s="26"/>
      <c r="G802" s="8"/>
      <c r="H802" s="8"/>
    </row>
    <row r="803" spans="2:8" ht="14.25" customHeight="1" x14ac:dyDescent="0.3">
      <c r="B803" s="15"/>
      <c r="E803" s="26"/>
      <c r="G803" s="8"/>
      <c r="H803" s="8"/>
    </row>
    <row r="804" spans="2:8" ht="14.25" customHeight="1" x14ac:dyDescent="0.3">
      <c r="B804" s="15"/>
      <c r="E804" s="26"/>
      <c r="G804" s="8"/>
      <c r="H804" s="8"/>
    </row>
    <row r="805" spans="2:8" ht="14.25" customHeight="1" x14ac:dyDescent="0.3">
      <c r="B805" s="15"/>
      <c r="E805" s="26"/>
      <c r="G805" s="8"/>
      <c r="H805" s="8"/>
    </row>
    <row r="806" spans="2:8" ht="14.25" customHeight="1" x14ac:dyDescent="0.3">
      <c r="B806" s="15"/>
      <c r="E806" s="26"/>
      <c r="G806" s="8"/>
      <c r="H806" s="8"/>
    </row>
    <row r="807" spans="2:8" ht="14.25" customHeight="1" x14ac:dyDescent="0.3">
      <c r="B807" s="15"/>
      <c r="E807" s="26"/>
      <c r="G807" s="8"/>
      <c r="H807" s="8"/>
    </row>
    <row r="808" spans="2:8" ht="14.25" customHeight="1" x14ac:dyDescent="0.3">
      <c r="B808" s="15"/>
      <c r="E808" s="26"/>
      <c r="G808" s="8"/>
      <c r="H808" s="8"/>
    </row>
    <row r="809" spans="2:8" ht="14.25" customHeight="1" x14ac:dyDescent="0.3">
      <c r="B809" s="15"/>
      <c r="E809" s="26"/>
      <c r="G809" s="8"/>
      <c r="H809" s="8"/>
    </row>
    <row r="810" spans="2:8" ht="14.25" customHeight="1" x14ac:dyDescent="0.3">
      <c r="B810" s="15"/>
      <c r="E810" s="26"/>
      <c r="G810" s="8"/>
      <c r="H810" s="8"/>
    </row>
    <row r="811" spans="2:8" ht="14.25" customHeight="1" x14ac:dyDescent="0.3">
      <c r="B811" s="15"/>
      <c r="E811" s="26"/>
      <c r="G811" s="8"/>
      <c r="H811" s="8"/>
    </row>
    <row r="812" spans="2:8" ht="14.25" customHeight="1" x14ac:dyDescent="0.3">
      <c r="B812" s="15"/>
      <c r="E812" s="26"/>
      <c r="G812" s="8"/>
      <c r="H812" s="8"/>
    </row>
    <row r="813" spans="2:8" ht="14.25" customHeight="1" x14ac:dyDescent="0.3">
      <c r="B813" s="15"/>
      <c r="E813" s="26"/>
      <c r="G813" s="8"/>
      <c r="H813" s="8"/>
    </row>
    <row r="814" spans="2:8" ht="14.25" customHeight="1" x14ac:dyDescent="0.3">
      <c r="B814" s="15"/>
      <c r="E814" s="26"/>
      <c r="G814" s="8"/>
      <c r="H814" s="8"/>
    </row>
    <row r="815" spans="2:8" ht="14.25" customHeight="1" x14ac:dyDescent="0.3">
      <c r="B815" s="15"/>
      <c r="E815" s="26"/>
      <c r="G815" s="8"/>
      <c r="H815" s="8"/>
    </row>
    <row r="816" spans="2:8" ht="14.25" customHeight="1" x14ac:dyDescent="0.3">
      <c r="B816" s="15"/>
      <c r="E816" s="26"/>
      <c r="G816" s="8"/>
      <c r="H816" s="8"/>
    </row>
    <row r="817" spans="2:8" ht="14.25" customHeight="1" x14ac:dyDescent="0.3">
      <c r="B817" s="15"/>
      <c r="E817" s="26"/>
      <c r="G817" s="8"/>
      <c r="H817" s="8"/>
    </row>
    <row r="818" spans="2:8" ht="14.25" customHeight="1" x14ac:dyDescent="0.3">
      <c r="B818" s="15"/>
      <c r="E818" s="26"/>
      <c r="G818" s="8"/>
      <c r="H818" s="8"/>
    </row>
    <row r="819" spans="2:8" ht="14.25" customHeight="1" x14ac:dyDescent="0.3">
      <c r="B819" s="15"/>
      <c r="E819" s="26"/>
      <c r="G819" s="8"/>
      <c r="H819" s="8"/>
    </row>
    <row r="820" spans="2:8" ht="14.25" customHeight="1" x14ac:dyDescent="0.3">
      <c r="B820" s="15"/>
      <c r="E820" s="26"/>
      <c r="G820" s="8"/>
      <c r="H820" s="8"/>
    </row>
    <row r="821" spans="2:8" ht="14.25" customHeight="1" x14ac:dyDescent="0.3">
      <c r="B821" s="15"/>
      <c r="E821" s="26"/>
      <c r="G821" s="8"/>
      <c r="H821" s="8"/>
    </row>
    <row r="822" spans="2:8" ht="14.25" customHeight="1" x14ac:dyDescent="0.3">
      <c r="B822" s="15"/>
      <c r="E822" s="26"/>
      <c r="G822" s="8"/>
      <c r="H822" s="8"/>
    </row>
    <row r="823" spans="2:8" ht="14.25" customHeight="1" x14ac:dyDescent="0.3">
      <c r="B823" s="15"/>
      <c r="E823" s="26"/>
      <c r="G823" s="8"/>
      <c r="H823" s="8"/>
    </row>
    <row r="824" spans="2:8" ht="14.25" customHeight="1" x14ac:dyDescent="0.3">
      <c r="B824" s="15"/>
      <c r="E824" s="26"/>
      <c r="G824" s="8"/>
      <c r="H824" s="8"/>
    </row>
    <row r="825" spans="2:8" ht="14.25" customHeight="1" x14ac:dyDescent="0.3">
      <c r="B825" s="15"/>
      <c r="E825" s="26"/>
      <c r="G825" s="8"/>
      <c r="H825" s="8"/>
    </row>
    <row r="826" spans="2:8" ht="14.25" customHeight="1" x14ac:dyDescent="0.3">
      <c r="B826" s="15"/>
      <c r="E826" s="26"/>
      <c r="G826" s="8"/>
      <c r="H826" s="8"/>
    </row>
    <row r="827" spans="2:8" ht="14.25" customHeight="1" x14ac:dyDescent="0.3">
      <c r="B827" s="15"/>
      <c r="E827" s="26"/>
      <c r="G827" s="8"/>
      <c r="H827" s="8"/>
    </row>
    <row r="828" spans="2:8" ht="14.25" customHeight="1" x14ac:dyDescent="0.3">
      <c r="B828" s="15"/>
      <c r="E828" s="26"/>
      <c r="G828" s="8"/>
      <c r="H828" s="8"/>
    </row>
    <row r="829" spans="2:8" ht="14.25" customHeight="1" x14ac:dyDescent="0.3">
      <c r="B829" s="15"/>
      <c r="E829" s="26"/>
      <c r="G829" s="8"/>
      <c r="H829" s="8"/>
    </row>
    <row r="830" spans="2:8" ht="14.25" customHeight="1" x14ac:dyDescent="0.3">
      <c r="B830" s="15"/>
      <c r="E830" s="26"/>
      <c r="G830" s="8"/>
      <c r="H830" s="8"/>
    </row>
    <row r="831" spans="2:8" ht="14.25" customHeight="1" x14ac:dyDescent="0.3">
      <c r="B831" s="15"/>
      <c r="E831" s="26"/>
      <c r="G831" s="8"/>
      <c r="H831" s="8"/>
    </row>
    <row r="832" spans="2:8" ht="14.25" customHeight="1" x14ac:dyDescent="0.3">
      <c r="B832" s="15"/>
      <c r="E832" s="26"/>
      <c r="G832" s="8"/>
      <c r="H832" s="8"/>
    </row>
    <row r="833" spans="2:8" ht="14.25" customHeight="1" x14ac:dyDescent="0.3">
      <c r="B833" s="15"/>
      <c r="E833" s="26"/>
      <c r="G833" s="8"/>
      <c r="H833" s="8"/>
    </row>
    <row r="834" spans="2:8" ht="14.25" customHeight="1" x14ac:dyDescent="0.3">
      <c r="B834" s="15"/>
      <c r="E834" s="26"/>
      <c r="G834" s="8"/>
      <c r="H834" s="8"/>
    </row>
    <row r="835" spans="2:8" ht="14.25" customHeight="1" x14ac:dyDescent="0.3">
      <c r="B835" s="15"/>
      <c r="E835" s="26"/>
      <c r="G835" s="8"/>
      <c r="H835" s="8"/>
    </row>
    <row r="836" spans="2:8" ht="14.25" customHeight="1" x14ac:dyDescent="0.3">
      <c r="B836" s="15"/>
      <c r="E836" s="26"/>
      <c r="G836" s="8"/>
      <c r="H836" s="8"/>
    </row>
    <row r="837" spans="2:8" ht="14.25" customHeight="1" x14ac:dyDescent="0.3">
      <c r="B837" s="15"/>
      <c r="E837" s="26"/>
      <c r="G837" s="8"/>
      <c r="H837" s="8"/>
    </row>
    <row r="838" spans="2:8" ht="14.25" customHeight="1" x14ac:dyDescent="0.3">
      <c r="B838" s="15"/>
      <c r="E838" s="26"/>
      <c r="G838" s="8"/>
      <c r="H838" s="8"/>
    </row>
    <row r="839" spans="2:8" ht="14.25" customHeight="1" x14ac:dyDescent="0.3">
      <c r="B839" s="15"/>
      <c r="E839" s="26"/>
      <c r="G839" s="8"/>
      <c r="H839" s="8"/>
    </row>
    <row r="840" spans="2:8" ht="14.25" customHeight="1" x14ac:dyDescent="0.3">
      <c r="B840" s="15"/>
      <c r="E840" s="26"/>
      <c r="G840" s="8"/>
      <c r="H840" s="8"/>
    </row>
    <row r="841" spans="2:8" ht="14.25" customHeight="1" x14ac:dyDescent="0.3">
      <c r="B841" s="15"/>
      <c r="E841" s="26"/>
      <c r="G841" s="8"/>
      <c r="H841" s="8"/>
    </row>
    <row r="842" spans="2:8" ht="14.25" customHeight="1" x14ac:dyDescent="0.3">
      <c r="B842" s="15"/>
      <c r="E842" s="26"/>
      <c r="G842" s="8"/>
      <c r="H842" s="8"/>
    </row>
    <row r="843" spans="2:8" ht="14.25" customHeight="1" x14ac:dyDescent="0.3">
      <c r="B843" s="15"/>
      <c r="E843" s="26"/>
      <c r="G843" s="8"/>
      <c r="H843" s="8"/>
    </row>
    <row r="844" spans="2:8" ht="14.25" customHeight="1" x14ac:dyDescent="0.3">
      <c r="B844" s="15"/>
      <c r="E844" s="26"/>
      <c r="G844" s="8"/>
      <c r="H844" s="8"/>
    </row>
    <row r="845" spans="2:8" ht="14.25" customHeight="1" x14ac:dyDescent="0.3">
      <c r="B845" s="15"/>
      <c r="E845" s="26"/>
      <c r="G845" s="8"/>
      <c r="H845" s="8"/>
    </row>
    <row r="846" spans="2:8" ht="14.25" customHeight="1" x14ac:dyDescent="0.3">
      <c r="B846" s="15"/>
      <c r="E846" s="26"/>
      <c r="G846" s="8"/>
      <c r="H846" s="8"/>
    </row>
    <row r="847" spans="2:8" ht="14.25" customHeight="1" x14ac:dyDescent="0.3">
      <c r="B847" s="15"/>
      <c r="E847" s="26"/>
      <c r="G847" s="8"/>
      <c r="H847" s="8"/>
    </row>
    <row r="848" spans="2:8" ht="14.25" customHeight="1" x14ac:dyDescent="0.3">
      <c r="B848" s="15"/>
      <c r="E848" s="26"/>
      <c r="G848" s="8"/>
      <c r="H848" s="8"/>
    </row>
    <row r="849" spans="2:8" ht="14.25" customHeight="1" x14ac:dyDescent="0.3">
      <c r="B849" s="15"/>
      <c r="E849" s="26"/>
      <c r="G849" s="8"/>
      <c r="H849" s="8"/>
    </row>
    <row r="850" spans="2:8" ht="14.25" customHeight="1" x14ac:dyDescent="0.3">
      <c r="B850" s="15"/>
      <c r="E850" s="26"/>
      <c r="G850" s="8"/>
      <c r="H850" s="8"/>
    </row>
    <row r="851" spans="2:8" ht="14.25" customHeight="1" x14ac:dyDescent="0.3">
      <c r="B851" s="15"/>
      <c r="E851" s="26"/>
      <c r="G851" s="8"/>
      <c r="H851" s="8"/>
    </row>
    <row r="852" spans="2:8" ht="14.25" customHeight="1" x14ac:dyDescent="0.3">
      <c r="B852" s="15"/>
      <c r="E852" s="26"/>
      <c r="G852" s="8"/>
      <c r="H852" s="8"/>
    </row>
    <row r="853" spans="2:8" ht="14.25" customHeight="1" x14ac:dyDescent="0.3">
      <c r="B853" s="15"/>
      <c r="E853" s="26"/>
      <c r="G853" s="8"/>
      <c r="H853" s="8"/>
    </row>
    <row r="854" spans="2:8" ht="14.25" customHeight="1" x14ac:dyDescent="0.3">
      <c r="B854" s="15"/>
      <c r="E854" s="26"/>
      <c r="G854" s="8"/>
      <c r="H854" s="8"/>
    </row>
    <row r="855" spans="2:8" ht="14.25" customHeight="1" x14ac:dyDescent="0.3">
      <c r="B855" s="15"/>
      <c r="E855" s="26"/>
      <c r="G855" s="8"/>
      <c r="H855" s="8"/>
    </row>
    <row r="856" spans="2:8" ht="14.25" customHeight="1" x14ac:dyDescent="0.3">
      <c r="B856" s="15"/>
      <c r="E856" s="26"/>
      <c r="G856" s="8"/>
      <c r="H856" s="8"/>
    </row>
    <row r="857" spans="2:8" ht="14.25" customHeight="1" x14ac:dyDescent="0.3">
      <c r="B857" s="15"/>
      <c r="E857" s="26"/>
      <c r="G857" s="8"/>
      <c r="H857" s="8"/>
    </row>
    <row r="858" spans="2:8" ht="14.25" customHeight="1" x14ac:dyDescent="0.3">
      <c r="B858" s="15"/>
      <c r="E858" s="26"/>
      <c r="G858" s="8"/>
      <c r="H858" s="8"/>
    </row>
    <row r="859" spans="2:8" ht="14.25" customHeight="1" x14ac:dyDescent="0.3">
      <c r="B859" s="15"/>
      <c r="E859" s="26"/>
      <c r="G859" s="8"/>
      <c r="H859" s="8"/>
    </row>
    <row r="860" spans="2:8" ht="14.25" customHeight="1" x14ac:dyDescent="0.3">
      <c r="B860" s="15"/>
      <c r="E860" s="26"/>
      <c r="G860" s="8"/>
      <c r="H860" s="8"/>
    </row>
    <row r="861" spans="2:8" ht="14.25" customHeight="1" x14ac:dyDescent="0.3">
      <c r="B861" s="15"/>
      <c r="E861" s="26"/>
      <c r="G861" s="8"/>
      <c r="H861" s="8"/>
    </row>
    <row r="862" spans="2:8" ht="14.25" customHeight="1" x14ac:dyDescent="0.3">
      <c r="B862" s="15"/>
      <c r="E862" s="26"/>
      <c r="G862" s="8"/>
      <c r="H862" s="8"/>
    </row>
    <row r="863" spans="2:8" ht="14.25" customHeight="1" x14ac:dyDescent="0.3">
      <c r="B863" s="15"/>
      <c r="E863" s="26"/>
      <c r="G863" s="8"/>
      <c r="H863" s="8"/>
    </row>
    <row r="864" spans="2:8" ht="14.25" customHeight="1" x14ac:dyDescent="0.3">
      <c r="B864" s="15"/>
      <c r="E864" s="26"/>
      <c r="G864" s="8"/>
      <c r="H864" s="8"/>
    </row>
    <row r="865" spans="2:8" ht="14.25" customHeight="1" x14ac:dyDescent="0.3">
      <c r="B865" s="15"/>
      <c r="E865" s="26"/>
      <c r="G865" s="8"/>
      <c r="H865" s="8"/>
    </row>
    <row r="866" spans="2:8" ht="14.25" customHeight="1" x14ac:dyDescent="0.3">
      <c r="B866" s="15"/>
      <c r="E866" s="26"/>
      <c r="G866" s="8"/>
      <c r="H866" s="8"/>
    </row>
    <row r="867" spans="2:8" ht="14.25" customHeight="1" x14ac:dyDescent="0.3">
      <c r="B867" s="15"/>
      <c r="E867" s="26"/>
      <c r="G867" s="8"/>
      <c r="H867" s="8"/>
    </row>
    <row r="868" spans="2:8" ht="14.25" customHeight="1" x14ac:dyDescent="0.3">
      <c r="B868" s="15"/>
      <c r="E868" s="26"/>
      <c r="G868" s="8"/>
      <c r="H868" s="8"/>
    </row>
    <row r="869" spans="2:8" ht="14.25" customHeight="1" x14ac:dyDescent="0.3">
      <c r="B869" s="15"/>
      <c r="E869" s="26"/>
      <c r="G869" s="8"/>
      <c r="H869" s="8"/>
    </row>
    <row r="870" spans="2:8" ht="14.25" customHeight="1" x14ac:dyDescent="0.3">
      <c r="B870" s="15"/>
      <c r="E870" s="26"/>
      <c r="G870" s="8"/>
      <c r="H870" s="8"/>
    </row>
    <row r="871" spans="2:8" ht="14.25" customHeight="1" x14ac:dyDescent="0.3">
      <c r="B871" s="15"/>
      <c r="E871" s="26"/>
      <c r="G871" s="8"/>
      <c r="H871" s="8"/>
    </row>
    <row r="872" spans="2:8" ht="14.25" customHeight="1" x14ac:dyDescent="0.3">
      <c r="B872" s="15"/>
      <c r="E872" s="26"/>
      <c r="G872" s="8"/>
      <c r="H872" s="8"/>
    </row>
    <row r="873" spans="2:8" ht="14.25" customHeight="1" x14ac:dyDescent="0.3">
      <c r="B873" s="15"/>
      <c r="E873" s="26"/>
      <c r="G873" s="8"/>
      <c r="H873" s="8"/>
    </row>
    <row r="874" spans="2:8" ht="14.25" customHeight="1" x14ac:dyDescent="0.3">
      <c r="B874" s="15"/>
      <c r="E874" s="26"/>
      <c r="G874" s="8"/>
      <c r="H874" s="8"/>
    </row>
    <row r="875" spans="2:8" ht="14.25" customHeight="1" x14ac:dyDescent="0.3">
      <c r="B875" s="15"/>
      <c r="E875" s="26"/>
      <c r="G875" s="8"/>
      <c r="H875" s="8"/>
    </row>
    <row r="876" spans="2:8" ht="14.25" customHeight="1" x14ac:dyDescent="0.3">
      <c r="B876" s="15"/>
      <c r="E876" s="26"/>
      <c r="G876" s="8"/>
      <c r="H876" s="8"/>
    </row>
    <row r="877" spans="2:8" ht="14.25" customHeight="1" x14ac:dyDescent="0.3">
      <c r="B877" s="15"/>
      <c r="E877" s="26"/>
      <c r="G877" s="8"/>
      <c r="H877" s="8"/>
    </row>
    <row r="878" spans="2:8" ht="14.25" customHeight="1" x14ac:dyDescent="0.3">
      <c r="B878" s="15"/>
      <c r="E878" s="26"/>
      <c r="G878" s="8"/>
      <c r="H878" s="8"/>
    </row>
    <row r="879" spans="2:8" ht="14.25" customHeight="1" x14ac:dyDescent="0.3">
      <c r="B879" s="15"/>
      <c r="E879" s="26"/>
      <c r="G879" s="8"/>
      <c r="H879" s="8"/>
    </row>
    <row r="880" spans="2:8" ht="14.25" customHeight="1" x14ac:dyDescent="0.3">
      <c r="B880" s="15"/>
      <c r="E880" s="26"/>
      <c r="G880" s="8"/>
      <c r="H880" s="8"/>
    </row>
    <row r="881" spans="2:8" ht="14.25" customHeight="1" x14ac:dyDescent="0.3">
      <c r="B881" s="15"/>
      <c r="E881" s="26"/>
      <c r="G881" s="8"/>
      <c r="H881" s="8"/>
    </row>
    <row r="882" spans="2:8" ht="14.25" customHeight="1" x14ac:dyDescent="0.3">
      <c r="B882" s="15"/>
      <c r="E882" s="26"/>
      <c r="G882" s="8"/>
      <c r="H882" s="8"/>
    </row>
    <row r="883" spans="2:8" ht="14.25" customHeight="1" x14ac:dyDescent="0.3">
      <c r="B883" s="15"/>
      <c r="E883" s="26"/>
      <c r="G883" s="8"/>
      <c r="H883" s="8"/>
    </row>
    <row r="884" spans="2:8" ht="14.25" customHeight="1" x14ac:dyDescent="0.3">
      <c r="B884" s="15"/>
      <c r="E884" s="26"/>
      <c r="G884" s="8"/>
      <c r="H884" s="8"/>
    </row>
    <row r="885" spans="2:8" ht="14.25" customHeight="1" x14ac:dyDescent="0.3">
      <c r="B885" s="15"/>
      <c r="E885" s="26"/>
      <c r="G885" s="8"/>
      <c r="H885" s="8"/>
    </row>
    <row r="886" spans="2:8" ht="14.25" customHeight="1" x14ac:dyDescent="0.3">
      <c r="B886" s="15"/>
      <c r="E886" s="26"/>
      <c r="G886" s="8"/>
      <c r="H886" s="8"/>
    </row>
    <row r="887" spans="2:8" ht="14.25" customHeight="1" x14ac:dyDescent="0.3">
      <c r="B887" s="15"/>
      <c r="E887" s="26"/>
      <c r="G887" s="8"/>
      <c r="H887" s="8"/>
    </row>
    <row r="888" spans="2:8" ht="14.25" customHeight="1" x14ac:dyDescent="0.3">
      <c r="B888" s="15"/>
      <c r="E888" s="26"/>
      <c r="G888" s="8"/>
      <c r="H888" s="8"/>
    </row>
    <row r="889" spans="2:8" ht="14.25" customHeight="1" x14ac:dyDescent="0.3">
      <c r="B889" s="15"/>
      <c r="E889" s="26"/>
      <c r="G889" s="8"/>
      <c r="H889" s="8"/>
    </row>
    <row r="890" spans="2:8" ht="14.25" customHeight="1" x14ac:dyDescent="0.3">
      <c r="B890" s="15"/>
      <c r="E890" s="26"/>
      <c r="G890" s="8"/>
      <c r="H890" s="8"/>
    </row>
    <row r="891" spans="2:8" ht="14.25" customHeight="1" x14ac:dyDescent="0.3">
      <c r="B891" s="15"/>
      <c r="E891" s="26"/>
      <c r="G891" s="8"/>
      <c r="H891" s="8"/>
    </row>
    <row r="892" spans="2:8" ht="14.25" customHeight="1" x14ac:dyDescent="0.3">
      <c r="B892" s="15"/>
      <c r="E892" s="26"/>
      <c r="G892" s="8"/>
      <c r="H892" s="8"/>
    </row>
    <row r="893" spans="2:8" ht="14.25" customHeight="1" x14ac:dyDescent="0.3">
      <c r="B893" s="15"/>
      <c r="E893" s="26"/>
      <c r="G893" s="8"/>
      <c r="H893" s="8"/>
    </row>
    <row r="894" spans="2:8" ht="14.25" customHeight="1" x14ac:dyDescent="0.3">
      <c r="B894" s="15"/>
      <c r="E894" s="26"/>
      <c r="G894" s="8"/>
      <c r="H894" s="8"/>
    </row>
    <row r="895" spans="2:8" ht="14.25" customHeight="1" x14ac:dyDescent="0.3">
      <c r="B895" s="15"/>
      <c r="E895" s="26"/>
      <c r="G895" s="8"/>
      <c r="H895" s="8"/>
    </row>
    <row r="896" spans="2:8" ht="14.25" customHeight="1" x14ac:dyDescent="0.3">
      <c r="B896" s="15"/>
      <c r="E896" s="26"/>
      <c r="G896" s="8"/>
      <c r="H896" s="8"/>
    </row>
    <row r="897" spans="2:8" ht="14.25" customHeight="1" x14ac:dyDescent="0.3">
      <c r="B897" s="15"/>
      <c r="E897" s="26"/>
      <c r="G897" s="8"/>
      <c r="H897" s="8"/>
    </row>
    <row r="898" spans="2:8" ht="14.25" customHeight="1" x14ac:dyDescent="0.3">
      <c r="B898" s="15"/>
      <c r="E898" s="26"/>
      <c r="G898" s="8"/>
      <c r="H898" s="8"/>
    </row>
    <row r="899" spans="2:8" ht="14.25" customHeight="1" x14ac:dyDescent="0.3">
      <c r="B899" s="15"/>
      <c r="E899" s="26"/>
      <c r="G899" s="8"/>
      <c r="H899" s="8"/>
    </row>
    <row r="900" spans="2:8" ht="14.25" customHeight="1" x14ac:dyDescent="0.3">
      <c r="B900" s="15"/>
      <c r="E900" s="26"/>
      <c r="G900" s="8"/>
      <c r="H900" s="8"/>
    </row>
    <row r="901" spans="2:8" ht="14.25" customHeight="1" x14ac:dyDescent="0.3">
      <c r="B901" s="15"/>
      <c r="E901" s="26"/>
      <c r="G901" s="8"/>
      <c r="H901" s="8"/>
    </row>
    <row r="902" spans="2:8" ht="14.25" customHeight="1" x14ac:dyDescent="0.3">
      <c r="B902" s="15"/>
      <c r="E902" s="26"/>
      <c r="G902" s="8"/>
      <c r="H902" s="8"/>
    </row>
    <row r="903" spans="2:8" ht="14.25" customHeight="1" x14ac:dyDescent="0.3">
      <c r="B903" s="15"/>
      <c r="E903" s="26"/>
      <c r="G903" s="8"/>
      <c r="H903" s="8"/>
    </row>
    <row r="904" spans="2:8" ht="14.25" customHeight="1" x14ac:dyDescent="0.3">
      <c r="B904" s="15"/>
      <c r="E904" s="26"/>
      <c r="G904" s="8"/>
      <c r="H904" s="8"/>
    </row>
    <row r="905" spans="2:8" ht="14.25" customHeight="1" x14ac:dyDescent="0.3">
      <c r="B905" s="15"/>
      <c r="E905" s="26"/>
      <c r="G905" s="8"/>
      <c r="H905" s="8"/>
    </row>
    <row r="906" spans="2:8" ht="14.25" customHeight="1" x14ac:dyDescent="0.3">
      <c r="B906" s="15"/>
      <c r="E906" s="26"/>
      <c r="G906" s="8"/>
      <c r="H906" s="8"/>
    </row>
    <row r="907" spans="2:8" ht="14.25" customHeight="1" x14ac:dyDescent="0.3">
      <c r="B907" s="15"/>
      <c r="E907" s="26"/>
      <c r="G907" s="8"/>
      <c r="H907" s="8"/>
    </row>
    <row r="908" spans="2:8" ht="14.25" customHeight="1" x14ac:dyDescent="0.3">
      <c r="B908" s="15"/>
      <c r="E908" s="26"/>
      <c r="G908" s="8"/>
      <c r="H908" s="8"/>
    </row>
    <row r="909" spans="2:8" ht="14.25" customHeight="1" x14ac:dyDescent="0.3">
      <c r="B909" s="15"/>
      <c r="E909" s="26"/>
      <c r="G909" s="8"/>
      <c r="H909" s="8"/>
    </row>
    <row r="910" spans="2:8" ht="14.25" customHeight="1" x14ac:dyDescent="0.3">
      <c r="B910" s="15"/>
      <c r="E910" s="26"/>
      <c r="G910" s="8"/>
      <c r="H910" s="8"/>
    </row>
    <row r="911" spans="2:8" ht="14.25" customHeight="1" x14ac:dyDescent="0.3">
      <c r="B911" s="15"/>
      <c r="E911" s="26"/>
      <c r="G911" s="8"/>
      <c r="H911" s="8"/>
    </row>
    <row r="912" spans="2:8" ht="14.25" customHeight="1" x14ac:dyDescent="0.3">
      <c r="B912" s="15"/>
      <c r="E912" s="26"/>
      <c r="G912" s="8"/>
      <c r="H912" s="8"/>
    </row>
    <row r="913" spans="2:8" ht="14.25" customHeight="1" x14ac:dyDescent="0.3">
      <c r="B913" s="15"/>
      <c r="E913" s="26"/>
      <c r="G913" s="8"/>
      <c r="H913" s="8"/>
    </row>
    <row r="914" spans="2:8" ht="14.25" customHeight="1" x14ac:dyDescent="0.3">
      <c r="B914" s="15"/>
      <c r="E914" s="26"/>
      <c r="G914" s="8"/>
      <c r="H914" s="8"/>
    </row>
    <row r="915" spans="2:8" ht="14.25" customHeight="1" x14ac:dyDescent="0.3">
      <c r="B915" s="15"/>
      <c r="E915" s="26"/>
      <c r="G915" s="8"/>
      <c r="H915" s="8"/>
    </row>
    <row r="916" spans="2:8" ht="14.25" customHeight="1" x14ac:dyDescent="0.3">
      <c r="B916" s="15"/>
      <c r="E916" s="26"/>
      <c r="G916" s="8"/>
      <c r="H916" s="8"/>
    </row>
    <row r="917" spans="2:8" ht="14.25" customHeight="1" x14ac:dyDescent="0.3">
      <c r="B917" s="15"/>
      <c r="E917" s="26"/>
      <c r="G917" s="8"/>
      <c r="H917" s="8"/>
    </row>
    <row r="918" spans="2:8" ht="14.25" customHeight="1" x14ac:dyDescent="0.3">
      <c r="B918" s="15"/>
      <c r="E918" s="26"/>
      <c r="G918" s="8"/>
      <c r="H918" s="8"/>
    </row>
    <row r="919" spans="2:8" ht="14.25" customHeight="1" x14ac:dyDescent="0.3">
      <c r="B919" s="15"/>
      <c r="E919" s="26"/>
      <c r="G919" s="8"/>
      <c r="H919" s="8"/>
    </row>
    <row r="920" spans="2:8" ht="14.25" customHeight="1" x14ac:dyDescent="0.3">
      <c r="B920" s="15"/>
      <c r="E920" s="26"/>
      <c r="G920" s="8"/>
      <c r="H920" s="8"/>
    </row>
    <row r="921" spans="2:8" ht="14.25" customHeight="1" x14ac:dyDescent="0.3">
      <c r="B921" s="15"/>
      <c r="E921" s="26"/>
      <c r="G921" s="8"/>
      <c r="H921" s="8"/>
    </row>
    <row r="922" spans="2:8" ht="14.25" customHeight="1" x14ac:dyDescent="0.3">
      <c r="B922" s="15"/>
      <c r="E922" s="26"/>
      <c r="G922" s="8"/>
      <c r="H922" s="8"/>
    </row>
    <row r="923" spans="2:8" ht="14.25" customHeight="1" x14ac:dyDescent="0.3">
      <c r="B923" s="15"/>
      <c r="E923" s="26"/>
      <c r="G923" s="8"/>
      <c r="H923" s="8"/>
    </row>
    <row r="924" spans="2:8" ht="14.25" customHeight="1" x14ac:dyDescent="0.3">
      <c r="B924" s="15"/>
      <c r="E924" s="26"/>
      <c r="G924" s="8"/>
      <c r="H924" s="8"/>
    </row>
    <row r="925" spans="2:8" ht="14.25" customHeight="1" x14ac:dyDescent="0.3">
      <c r="B925" s="15"/>
      <c r="E925" s="26"/>
      <c r="G925" s="8"/>
      <c r="H925" s="8"/>
    </row>
    <row r="926" spans="2:8" ht="14.25" customHeight="1" x14ac:dyDescent="0.3">
      <c r="B926" s="15"/>
      <c r="E926" s="26"/>
      <c r="G926" s="8"/>
      <c r="H926" s="8"/>
    </row>
    <row r="927" spans="2:8" ht="14.25" customHeight="1" x14ac:dyDescent="0.3">
      <c r="B927" s="15"/>
      <c r="E927" s="26"/>
      <c r="G927" s="8"/>
      <c r="H927" s="8"/>
    </row>
    <row r="928" spans="2:8" ht="14.25" customHeight="1" x14ac:dyDescent="0.3">
      <c r="B928" s="15"/>
      <c r="E928" s="26"/>
      <c r="G928" s="8"/>
      <c r="H928" s="8"/>
    </row>
    <row r="929" spans="2:8" ht="14.25" customHeight="1" x14ac:dyDescent="0.3">
      <c r="B929" s="15"/>
      <c r="E929" s="26"/>
      <c r="G929" s="8"/>
      <c r="H929" s="8"/>
    </row>
    <row r="930" spans="2:8" ht="14.25" customHeight="1" x14ac:dyDescent="0.3">
      <c r="B930" s="15"/>
      <c r="E930" s="26"/>
      <c r="G930" s="8"/>
      <c r="H930" s="8"/>
    </row>
    <row r="931" spans="2:8" ht="14.25" customHeight="1" x14ac:dyDescent="0.3">
      <c r="B931" s="15"/>
      <c r="E931" s="26"/>
      <c r="G931" s="8"/>
      <c r="H931" s="8"/>
    </row>
    <row r="932" spans="2:8" ht="14.25" customHeight="1" x14ac:dyDescent="0.3">
      <c r="B932" s="15"/>
      <c r="E932" s="26"/>
      <c r="G932" s="8"/>
      <c r="H932" s="8"/>
    </row>
    <row r="933" spans="2:8" ht="14.25" customHeight="1" x14ac:dyDescent="0.3">
      <c r="B933" s="15"/>
      <c r="E933" s="26"/>
      <c r="G933" s="8"/>
      <c r="H933" s="8"/>
    </row>
    <row r="934" spans="2:8" ht="14.25" customHeight="1" x14ac:dyDescent="0.3">
      <c r="B934" s="15"/>
      <c r="E934" s="26"/>
      <c r="G934" s="8"/>
      <c r="H934" s="8"/>
    </row>
    <row r="935" spans="2:8" ht="14.25" customHeight="1" x14ac:dyDescent="0.3">
      <c r="B935" s="15"/>
      <c r="E935" s="26"/>
      <c r="G935" s="8"/>
      <c r="H935" s="8"/>
    </row>
    <row r="936" spans="2:8" ht="14.25" customHeight="1" x14ac:dyDescent="0.3">
      <c r="B936" s="15"/>
      <c r="E936" s="26"/>
      <c r="G936" s="8"/>
      <c r="H936" s="8"/>
    </row>
    <row r="937" spans="2:8" ht="14.25" customHeight="1" x14ac:dyDescent="0.3">
      <c r="B937" s="15"/>
      <c r="E937" s="26"/>
      <c r="G937" s="8"/>
      <c r="H937" s="8"/>
    </row>
    <row r="938" spans="2:8" ht="14.25" customHeight="1" x14ac:dyDescent="0.3">
      <c r="B938" s="15"/>
      <c r="E938" s="26"/>
      <c r="G938" s="8"/>
      <c r="H938" s="8"/>
    </row>
    <row r="939" spans="2:8" ht="14.25" customHeight="1" x14ac:dyDescent="0.3">
      <c r="B939" s="15"/>
      <c r="E939" s="26"/>
      <c r="G939" s="8"/>
      <c r="H939" s="8"/>
    </row>
    <row r="940" spans="2:8" ht="14.25" customHeight="1" x14ac:dyDescent="0.3">
      <c r="B940" s="15"/>
      <c r="E940" s="26"/>
      <c r="G940" s="8"/>
      <c r="H940" s="8"/>
    </row>
    <row r="941" spans="2:8" ht="14.25" customHeight="1" x14ac:dyDescent="0.3">
      <c r="B941" s="15"/>
      <c r="E941" s="26"/>
      <c r="G941" s="8"/>
      <c r="H941" s="8"/>
    </row>
    <row r="942" spans="2:8" ht="14.25" customHeight="1" x14ac:dyDescent="0.3">
      <c r="B942" s="15"/>
      <c r="E942" s="26"/>
      <c r="G942" s="8"/>
      <c r="H942" s="8"/>
    </row>
    <row r="943" spans="2:8" ht="14.25" customHeight="1" x14ac:dyDescent="0.3">
      <c r="B943" s="15"/>
      <c r="E943" s="26"/>
      <c r="G943" s="8"/>
      <c r="H943" s="8"/>
    </row>
    <row r="944" spans="2:8" ht="14.25" customHeight="1" x14ac:dyDescent="0.3">
      <c r="B944" s="15"/>
      <c r="E944" s="26"/>
      <c r="G944" s="8"/>
      <c r="H944" s="8"/>
    </row>
    <row r="945" spans="2:8" ht="14.25" customHeight="1" x14ac:dyDescent="0.3">
      <c r="B945" s="15"/>
      <c r="E945" s="26"/>
      <c r="G945" s="8"/>
      <c r="H945" s="8"/>
    </row>
    <row r="946" spans="2:8" ht="14.25" customHeight="1" x14ac:dyDescent="0.3">
      <c r="B946" s="15"/>
      <c r="E946" s="26"/>
      <c r="G946" s="8"/>
      <c r="H946" s="8"/>
    </row>
    <row r="947" spans="2:8" ht="14.25" customHeight="1" x14ac:dyDescent="0.3">
      <c r="B947" s="15"/>
      <c r="E947" s="26"/>
      <c r="G947" s="8"/>
      <c r="H947" s="8"/>
    </row>
    <row r="948" spans="2:8" ht="14.25" customHeight="1" x14ac:dyDescent="0.3">
      <c r="B948" s="15"/>
      <c r="E948" s="26"/>
      <c r="G948" s="8"/>
      <c r="H948" s="8"/>
    </row>
    <row r="949" spans="2:8" ht="14.25" customHeight="1" x14ac:dyDescent="0.3">
      <c r="B949" s="15"/>
      <c r="E949" s="26"/>
      <c r="G949" s="8"/>
      <c r="H949" s="8"/>
    </row>
    <row r="950" spans="2:8" ht="14.25" customHeight="1" x14ac:dyDescent="0.3">
      <c r="B950" s="15"/>
      <c r="E950" s="26"/>
      <c r="G950" s="8"/>
      <c r="H950" s="8"/>
    </row>
    <row r="951" spans="2:8" ht="14.25" customHeight="1" x14ac:dyDescent="0.3">
      <c r="B951" s="15"/>
      <c r="E951" s="26"/>
      <c r="G951" s="8"/>
      <c r="H951" s="8"/>
    </row>
    <row r="952" spans="2:8" ht="14.25" customHeight="1" x14ac:dyDescent="0.3">
      <c r="B952" s="15"/>
      <c r="E952" s="26"/>
      <c r="G952" s="8"/>
      <c r="H952" s="8"/>
    </row>
    <row r="953" spans="2:8" ht="14.25" customHeight="1" x14ac:dyDescent="0.3">
      <c r="B953" s="15"/>
      <c r="E953" s="26"/>
      <c r="G953" s="8"/>
      <c r="H953" s="8"/>
    </row>
    <row r="954" spans="2:8" ht="14.25" customHeight="1" x14ac:dyDescent="0.3">
      <c r="B954" s="15"/>
      <c r="E954" s="26"/>
      <c r="G954" s="8"/>
      <c r="H954" s="8"/>
    </row>
    <row r="955" spans="2:8" ht="14.25" customHeight="1" x14ac:dyDescent="0.3">
      <c r="B955" s="15"/>
      <c r="E955" s="26"/>
      <c r="G955" s="8"/>
      <c r="H955" s="8"/>
    </row>
    <row r="956" spans="2:8" ht="14.25" customHeight="1" x14ac:dyDescent="0.3">
      <c r="B956" s="15"/>
      <c r="E956" s="26"/>
      <c r="G956" s="8"/>
      <c r="H956" s="8"/>
    </row>
    <row r="957" spans="2:8" ht="14.25" customHeight="1" x14ac:dyDescent="0.3">
      <c r="B957" s="15"/>
      <c r="E957" s="26"/>
      <c r="G957" s="8"/>
      <c r="H957" s="8"/>
    </row>
    <row r="958" spans="2:8" ht="14.25" customHeight="1" x14ac:dyDescent="0.3">
      <c r="B958" s="15"/>
      <c r="E958" s="26"/>
      <c r="G958" s="8"/>
      <c r="H958" s="8"/>
    </row>
    <row r="959" spans="2:8" ht="14.25" customHeight="1" x14ac:dyDescent="0.3">
      <c r="B959" s="15"/>
      <c r="E959" s="26"/>
      <c r="G959" s="8"/>
      <c r="H959" s="8"/>
    </row>
    <row r="960" spans="2:8" ht="14.25" customHeight="1" x14ac:dyDescent="0.3">
      <c r="B960" s="15"/>
      <c r="E960" s="26"/>
      <c r="G960" s="8"/>
      <c r="H960" s="8"/>
    </row>
    <row r="961" spans="2:8" ht="14.25" customHeight="1" x14ac:dyDescent="0.3">
      <c r="B961" s="15"/>
      <c r="E961" s="26"/>
      <c r="G961" s="8"/>
      <c r="H961" s="8"/>
    </row>
    <row r="962" spans="2:8" ht="14.25" customHeight="1" x14ac:dyDescent="0.3">
      <c r="B962" s="15"/>
      <c r="E962" s="26"/>
      <c r="G962" s="8"/>
      <c r="H962" s="8"/>
    </row>
    <row r="963" spans="2:8" ht="14.25" customHeight="1" x14ac:dyDescent="0.3">
      <c r="B963" s="15"/>
      <c r="E963" s="26"/>
      <c r="G963" s="8"/>
      <c r="H963" s="8"/>
    </row>
    <row r="964" spans="2:8" ht="14.25" customHeight="1" x14ac:dyDescent="0.3">
      <c r="B964" s="15"/>
      <c r="E964" s="26"/>
      <c r="G964" s="8"/>
      <c r="H964" s="8"/>
    </row>
    <row r="965" spans="2:8" ht="14.25" customHeight="1" x14ac:dyDescent="0.3">
      <c r="B965" s="15"/>
      <c r="E965" s="26"/>
      <c r="G965" s="8"/>
      <c r="H965" s="8"/>
    </row>
    <row r="966" spans="2:8" ht="14.25" customHeight="1" x14ac:dyDescent="0.3">
      <c r="B966" s="15"/>
      <c r="E966" s="26"/>
      <c r="G966" s="8"/>
      <c r="H966" s="8"/>
    </row>
    <row r="967" spans="2:8" ht="14.25" customHeight="1" x14ac:dyDescent="0.3">
      <c r="B967" s="15"/>
      <c r="E967" s="26"/>
      <c r="G967" s="8"/>
      <c r="H967" s="8"/>
    </row>
    <row r="968" spans="2:8" ht="14.25" customHeight="1" x14ac:dyDescent="0.3">
      <c r="B968" s="15"/>
      <c r="E968" s="26"/>
      <c r="G968" s="8"/>
      <c r="H968" s="8"/>
    </row>
    <row r="969" spans="2:8" ht="14.25" customHeight="1" x14ac:dyDescent="0.3">
      <c r="B969" s="15"/>
      <c r="E969" s="26"/>
      <c r="G969" s="8"/>
      <c r="H969" s="8"/>
    </row>
    <row r="970" spans="2:8" ht="14.25" customHeight="1" x14ac:dyDescent="0.3">
      <c r="B970" s="15"/>
      <c r="E970" s="26"/>
      <c r="G970" s="8"/>
      <c r="H970" s="8"/>
    </row>
    <row r="971" spans="2:8" ht="14.25" customHeight="1" x14ac:dyDescent="0.3">
      <c r="B971" s="15"/>
      <c r="E971" s="26"/>
      <c r="G971" s="8"/>
      <c r="H971" s="8"/>
    </row>
    <row r="972" spans="2:8" ht="14.25" customHeight="1" x14ac:dyDescent="0.3">
      <c r="B972" s="15"/>
      <c r="E972" s="26"/>
      <c r="G972" s="8"/>
      <c r="H972" s="8"/>
    </row>
    <row r="973" spans="2:8" ht="14.25" customHeight="1" x14ac:dyDescent="0.3">
      <c r="B973" s="15"/>
      <c r="E973" s="26"/>
      <c r="G973" s="8"/>
      <c r="H973" s="8"/>
    </row>
    <row r="974" spans="2:8" ht="14.25" customHeight="1" x14ac:dyDescent="0.3">
      <c r="B974" s="15"/>
      <c r="E974" s="26"/>
      <c r="G974" s="8"/>
      <c r="H974" s="8"/>
    </row>
    <row r="975" spans="2:8" ht="14.25" customHeight="1" x14ac:dyDescent="0.3">
      <c r="B975" s="15"/>
      <c r="E975" s="26"/>
      <c r="G975" s="8"/>
      <c r="H975" s="8"/>
    </row>
    <row r="976" spans="2:8" ht="14.25" customHeight="1" x14ac:dyDescent="0.3">
      <c r="B976" s="15"/>
      <c r="E976" s="26"/>
      <c r="G976" s="8"/>
      <c r="H976" s="8"/>
    </row>
    <row r="977" spans="2:8" ht="14.25" customHeight="1" x14ac:dyDescent="0.3">
      <c r="B977" s="15"/>
      <c r="E977" s="26"/>
      <c r="G977" s="8"/>
      <c r="H977" s="8"/>
    </row>
    <row r="978" spans="2:8" ht="14.25" customHeight="1" x14ac:dyDescent="0.3">
      <c r="B978" s="15"/>
      <c r="E978" s="26"/>
      <c r="G978" s="8"/>
      <c r="H978" s="8"/>
    </row>
    <row r="979" spans="2:8" ht="14.25" customHeight="1" x14ac:dyDescent="0.3">
      <c r="B979" s="15"/>
      <c r="E979" s="26"/>
      <c r="G979" s="8"/>
      <c r="H979" s="8"/>
    </row>
    <row r="980" spans="2:8" ht="14.25" customHeight="1" x14ac:dyDescent="0.3">
      <c r="B980" s="15"/>
      <c r="E980" s="26"/>
      <c r="G980" s="8"/>
      <c r="H980" s="8"/>
    </row>
    <row r="981" spans="2:8" ht="14.25" customHeight="1" x14ac:dyDescent="0.3">
      <c r="B981" s="15"/>
      <c r="E981" s="26"/>
      <c r="G981" s="8"/>
      <c r="H981" s="8"/>
    </row>
    <row r="982" spans="2:8" ht="14.25" customHeight="1" x14ac:dyDescent="0.3">
      <c r="B982" s="15"/>
      <c r="E982" s="26"/>
      <c r="G982" s="8"/>
      <c r="H982" s="8"/>
    </row>
    <row r="983" spans="2:8" ht="14.25" customHeight="1" x14ac:dyDescent="0.3">
      <c r="B983" s="15"/>
      <c r="E983" s="26"/>
      <c r="G983" s="8"/>
      <c r="H983" s="8"/>
    </row>
    <row r="984" spans="2:8" ht="14.25" customHeight="1" x14ac:dyDescent="0.3">
      <c r="B984" s="15"/>
      <c r="E984" s="26"/>
      <c r="G984" s="8"/>
      <c r="H984" s="8"/>
    </row>
    <row r="985" spans="2:8" ht="14.25" customHeight="1" x14ac:dyDescent="0.3">
      <c r="B985" s="15"/>
      <c r="E985" s="26"/>
      <c r="G985" s="8"/>
      <c r="H985" s="8"/>
    </row>
    <row r="986" spans="2:8" ht="14.25" customHeight="1" x14ac:dyDescent="0.3">
      <c r="B986" s="15"/>
      <c r="E986" s="26"/>
      <c r="G986" s="8"/>
      <c r="H986" s="8"/>
    </row>
    <row r="987" spans="2:8" ht="14.25" customHeight="1" x14ac:dyDescent="0.3">
      <c r="B987" s="15"/>
      <c r="E987" s="26"/>
      <c r="G987" s="8"/>
      <c r="H987" s="8"/>
    </row>
    <row r="988" spans="2:8" ht="14.25" customHeight="1" x14ac:dyDescent="0.3">
      <c r="B988" s="15"/>
      <c r="E988" s="26"/>
      <c r="G988" s="8"/>
      <c r="H988" s="8"/>
    </row>
    <row r="989" spans="2:8" ht="14.25" customHeight="1" x14ac:dyDescent="0.3">
      <c r="B989" s="15"/>
      <c r="E989" s="26"/>
      <c r="G989" s="8"/>
      <c r="H989" s="8"/>
    </row>
    <row r="990" spans="2:8" ht="14.25" customHeight="1" x14ac:dyDescent="0.3">
      <c r="B990" s="15"/>
      <c r="E990" s="26"/>
      <c r="G990" s="8"/>
      <c r="H990" s="8"/>
    </row>
    <row r="991" spans="2:8" ht="14.25" customHeight="1" x14ac:dyDescent="0.3">
      <c r="B991" s="15"/>
      <c r="E991" s="26"/>
      <c r="G991" s="8"/>
      <c r="H991" s="8"/>
    </row>
    <row r="992" spans="2:8" ht="14.25" customHeight="1" x14ac:dyDescent="0.3">
      <c r="B992" s="15"/>
      <c r="E992" s="26"/>
      <c r="G992" s="8"/>
      <c r="H992" s="8"/>
    </row>
    <row r="993" spans="2:8" ht="14.25" customHeight="1" x14ac:dyDescent="0.3">
      <c r="B993" s="15"/>
      <c r="E993" s="26"/>
      <c r="G993" s="8"/>
      <c r="H993" s="8"/>
    </row>
    <row r="994" spans="2:8" ht="14.25" customHeight="1" x14ac:dyDescent="0.3">
      <c r="B994" s="15"/>
      <c r="E994" s="26"/>
      <c r="G994" s="8"/>
      <c r="H994" s="8"/>
    </row>
    <row r="995" spans="2:8" ht="14.25" customHeight="1" x14ac:dyDescent="0.3">
      <c r="B995" s="15"/>
      <c r="E995" s="26"/>
      <c r="G995" s="8"/>
      <c r="H995" s="8"/>
    </row>
    <row r="996" spans="2:8" ht="14.25" customHeight="1" x14ac:dyDescent="0.3">
      <c r="B996" s="15"/>
      <c r="E996" s="26"/>
      <c r="G996" s="8"/>
      <c r="H996" s="8"/>
    </row>
    <row r="997" spans="2:8" ht="14.25" customHeight="1" x14ac:dyDescent="0.3">
      <c r="B997" s="15"/>
      <c r="E997" s="26"/>
      <c r="G997" s="8"/>
      <c r="H997" s="8"/>
    </row>
    <row r="998" spans="2:8" ht="14.25" customHeight="1" x14ac:dyDescent="0.3">
      <c r="B998" s="15"/>
      <c r="E998" s="26"/>
      <c r="G998" s="8"/>
      <c r="H998" s="8"/>
    </row>
    <row r="999" spans="2:8" ht="14.25" customHeight="1" x14ac:dyDescent="0.3">
      <c r="B999" s="15"/>
      <c r="E999" s="26"/>
      <c r="G999" s="8"/>
      <c r="H999" s="8"/>
    </row>
    <row r="1000" spans="2:8" ht="14.25" customHeight="1" x14ac:dyDescent="0.3">
      <c r="B1000" s="15"/>
      <c r="E1000" s="26"/>
      <c r="G1000" s="8"/>
      <c r="H1000" s="8"/>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01AD-C6B1-4309-8EE3-B6A1A4B1C02B}">
  <dimension ref="A1:K9"/>
  <sheetViews>
    <sheetView topLeftCell="A2" workbookViewId="0">
      <selection activeCell="E26" sqref="E25:E26"/>
    </sheetView>
  </sheetViews>
  <sheetFormatPr defaultRowHeight="14.4" x14ac:dyDescent="0.3"/>
  <cols>
    <col min="1" max="1" width="17.77734375" bestFit="1" customWidth="1"/>
    <col min="2" max="3" width="15.44140625" bestFit="1" customWidth="1"/>
    <col min="4" max="4" width="15.109375" bestFit="1" customWidth="1"/>
    <col min="5" max="5" width="14.44140625" bestFit="1" customWidth="1"/>
    <col min="6" max="6" width="29.109375" bestFit="1" customWidth="1"/>
    <col min="7" max="7" width="20.21875" bestFit="1" customWidth="1"/>
    <col min="8" max="8" width="14.77734375" bestFit="1" customWidth="1"/>
    <col min="9" max="9" width="15.21875" bestFit="1" customWidth="1"/>
    <col min="10" max="10" width="9.109375" bestFit="1" customWidth="1"/>
    <col min="11" max="11" width="18.5546875" bestFit="1" customWidth="1"/>
  </cols>
  <sheetData>
    <row r="1" spans="1:11" x14ac:dyDescent="0.3">
      <c r="A1" s="109" t="s">
        <v>12</v>
      </c>
      <c r="B1" s="110" t="s">
        <v>375</v>
      </c>
      <c r="C1" s="110" t="s">
        <v>376</v>
      </c>
      <c r="D1" s="110" t="s">
        <v>377</v>
      </c>
      <c r="E1" s="110" t="s">
        <v>378</v>
      </c>
      <c r="F1" s="110" t="s">
        <v>380</v>
      </c>
      <c r="G1" s="110" t="s">
        <v>394</v>
      </c>
      <c r="H1" s="110" t="s">
        <v>395</v>
      </c>
      <c r="I1" s="110" t="s">
        <v>414</v>
      </c>
      <c r="J1" s="110" t="s">
        <v>466</v>
      </c>
      <c r="K1" s="111" t="s">
        <v>426</v>
      </c>
    </row>
    <row r="2" spans="1:11" x14ac:dyDescent="0.3">
      <c r="A2" s="112" t="s">
        <v>18</v>
      </c>
      <c r="B2" s="113">
        <v>45458</v>
      </c>
      <c r="C2" s="113">
        <v>45488</v>
      </c>
      <c r="D2" s="114" t="s">
        <v>381</v>
      </c>
      <c r="E2" s="114">
        <v>150000</v>
      </c>
      <c r="F2" s="114" t="s">
        <v>36</v>
      </c>
      <c r="G2" s="114" t="s">
        <v>33</v>
      </c>
      <c r="H2" s="114" t="s">
        <v>27</v>
      </c>
      <c r="I2" s="114" t="s">
        <v>379</v>
      </c>
      <c r="J2" s="114" t="s">
        <v>30</v>
      </c>
      <c r="K2" s="115">
        <f>SUMIFS(Posts!$L$2:$L$301,Posts!$Q$2:$Q$301,Table1!$A2,Posts!$B$2:$B$301,Table1!$J2)</f>
        <v>55453</v>
      </c>
    </row>
    <row r="3" spans="1:11" x14ac:dyDescent="0.3">
      <c r="A3" s="116" t="s">
        <v>18</v>
      </c>
      <c r="B3" s="117">
        <v>45458</v>
      </c>
      <c r="C3" s="117">
        <v>45488</v>
      </c>
      <c r="D3" s="118" t="s">
        <v>381</v>
      </c>
      <c r="E3" s="118">
        <v>150000</v>
      </c>
      <c r="F3" s="118" t="s">
        <v>36</v>
      </c>
      <c r="G3" s="118" t="s">
        <v>33</v>
      </c>
      <c r="H3" s="118" t="s">
        <v>27</v>
      </c>
      <c r="I3" s="118" t="s">
        <v>1</v>
      </c>
      <c r="J3" s="118" t="s">
        <v>38</v>
      </c>
      <c r="K3" s="115">
        <f>SUMIFS(Posts!$L$2:$L$301,Posts!$Q$2:$Q$301,Table1!$A3,Posts!$B$2:$B$301,Table1!$J3)</f>
        <v>39903</v>
      </c>
    </row>
    <row r="4" spans="1:11" x14ac:dyDescent="0.3">
      <c r="A4" s="112" t="s">
        <v>23</v>
      </c>
      <c r="B4" s="113">
        <v>45566</v>
      </c>
      <c r="C4" s="113">
        <v>45596</v>
      </c>
      <c r="D4" s="114" t="s">
        <v>383</v>
      </c>
      <c r="E4" s="114">
        <v>200000</v>
      </c>
      <c r="F4" s="114" t="s">
        <v>385</v>
      </c>
      <c r="G4" s="114" t="s">
        <v>392</v>
      </c>
      <c r="H4" s="114"/>
      <c r="I4" s="114" t="s">
        <v>379</v>
      </c>
      <c r="J4" s="114" t="s">
        <v>30</v>
      </c>
      <c r="K4" s="115">
        <f>SUMIFS(Posts!$L$2:$L$301,Posts!$Q$2:$Q$301,Table1!$A4,Posts!$B$2:$B$301,Table1!$J4)</f>
        <v>60551</v>
      </c>
    </row>
    <row r="5" spans="1:11" x14ac:dyDescent="0.3">
      <c r="A5" s="116" t="s">
        <v>23</v>
      </c>
      <c r="B5" s="117">
        <v>45566</v>
      </c>
      <c r="C5" s="117">
        <v>45596</v>
      </c>
      <c r="D5" s="118" t="s">
        <v>383</v>
      </c>
      <c r="E5" s="118">
        <v>200000</v>
      </c>
      <c r="F5" s="118" t="s">
        <v>385</v>
      </c>
      <c r="G5" s="118" t="s">
        <v>392</v>
      </c>
      <c r="H5" s="118"/>
      <c r="I5" s="118" t="s">
        <v>1</v>
      </c>
      <c r="J5" s="118" t="s">
        <v>25</v>
      </c>
      <c r="K5" s="115">
        <f>SUMIFS(Posts!$L$2:$L$301,Posts!$Q$2:$Q$301,Table1!$A5,Posts!$B$2:$B$301,Table1!$J5)</f>
        <v>52285</v>
      </c>
    </row>
    <row r="6" spans="1:11" x14ac:dyDescent="0.3">
      <c r="A6" s="112" t="s">
        <v>28</v>
      </c>
      <c r="B6" s="113">
        <v>45651</v>
      </c>
      <c r="C6" s="113">
        <v>45667</v>
      </c>
      <c r="D6" s="114" t="s">
        <v>386</v>
      </c>
      <c r="E6" s="114">
        <v>250000</v>
      </c>
      <c r="F6" s="114" t="s">
        <v>388</v>
      </c>
      <c r="G6" s="114" t="s">
        <v>388</v>
      </c>
      <c r="H6" s="114"/>
      <c r="I6" s="114" t="s">
        <v>379</v>
      </c>
      <c r="J6" s="114" t="s">
        <v>38</v>
      </c>
      <c r="K6" s="115">
        <f>SUMIFS(Posts!$L$2:$L$301,Posts!$Q$2:$Q$301,Table1!$A6,Posts!$B$2:$B$301,Table1!$J6)</f>
        <v>89114</v>
      </c>
    </row>
    <row r="7" spans="1:11" x14ac:dyDescent="0.3">
      <c r="A7" s="116" t="s">
        <v>28</v>
      </c>
      <c r="B7" s="117">
        <v>45651</v>
      </c>
      <c r="C7" s="117">
        <v>45667</v>
      </c>
      <c r="D7" s="118" t="s">
        <v>386</v>
      </c>
      <c r="E7" s="118">
        <v>250000</v>
      </c>
      <c r="F7" s="118" t="s">
        <v>388</v>
      </c>
      <c r="G7" s="118" t="s">
        <v>388</v>
      </c>
      <c r="H7" s="118"/>
      <c r="I7" s="118" t="s">
        <v>1</v>
      </c>
      <c r="J7" s="118" t="s">
        <v>14</v>
      </c>
      <c r="K7" s="115">
        <f>SUMIFS(Posts!$L$2:$L$301,Posts!$Q$2:$Q$301,Table1!$A7,Posts!$B$2:$B$301,Table1!$J7)</f>
        <v>47632</v>
      </c>
    </row>
    <row r="8" spans="1:11" x14ac:dyDescent="0.3">
      <c r="A8" s="112" t="s">
        <v>34</v>
      </c>
      <c r="B8" s="113">
        <v>45717</v>
      </c>
      <c r="C8" s="113">
        <v>45747</v>
      </c>
      <c r="D8" s="114" t="s">
        <v>389</v>
      </c>
      <c r="E8" s="114">
        <v>180000</v>
      </c>
      <c r="F8" s="114" t="s">
        <v>391</v>
      </c>
      <c r="G8" s="114" t="s">
        <v>393</v>
      </c>
      <c r="H8" s="114" t="s">
        <v>51</v>
      </c>
      <c r="I8" s="114" t="s">
        <v>379</v>
      </c>
      <c r="J8" s="114" t="s">
        <v>30</v>
      </c>
      <c r="K8" s="115">
        <f>SUMIFS(Posts!$L$2:$L$301,Posts!$Q$2:$Q$301,Table1!$A8,Posts!$B$2:$B$301,Table1!$J8)</f>
        <v>54374</v>
      </c>
    </row>
    <row r="9" spans="1:11" x14ac:dyDescent="0.3">
      <c r="A9" s="119" t="s">
        <v>34</v>
      </c>
      <c r="B9" s="120">
        <v>45717</v>
      </c>
      <c r="C9" s="120">
        <v>45747</v>
      </c>
      <c r="D9" s="108" t="s">
        <v>389</v>
      </c>
      <c r="E9" s="108">
        <v>180000</v>
      </c>
      <c r="F9" s="108" t="s">
        <v>391</v>
      </c>
      <c r="G9" s="108" t="s">
        <v>393</v>
      </c>
      <c r="H9" s="108" t="s">
        <v>51</v>
      </c>
      <c r="I9" s="108" t="s">
        <v>1</v>
      </c>
      <c r="J9" s="108" t="s">
        <v>14</v>
      </c>
      <c r="K9" s="115">
        <f>SUMIFS(Posts!$L$2:$L$301,Posts!$Q$2:$Q$301,Table1!$A9,Posts!$B$2:$B$301,Table1!$J9)</f>
        <v>75230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A556-79A9-45E7-8A15-2A0D791A31B7}">
  <dimension ref="A1:W9"/>
  <sheetViews>
    <sheetView workbookViewId="0">
      <selection activeCell="D5" sqref="D5"/>
    </sheetView>
  </sheetViews>
  <sheetFormatPr defaultRowHeight="14.4" x14ac:dyDescent="0.3"/>
  <cols>
    <col min="1" max="1" width="44.109375" customWidth="1"/>
  </cols>
  <sheetData>
    <row r="1" spans="1:23" ht="25.8" customHeight="1" x14ac:dyDescent="0.3">
      <c r="A1" s="68" t="s">
        <v>423</v>
      </c>
      <c r="B1" s="163" t="s">
        <v>485</v>
      </c>
      <c r="C1" s="163"/>
      <c r="D1" s="163"/>
      <c r="E1" s="163"/>
    </row>
    <row r="3" spans="1:23" ht="28.8" x14ac:dyDescent="0.3">
      <c r="A3" s="160" t="s">
        <v>497</v>
      </c>
      <c r="B3" s="159"/>
      <c r="C3" s="159"/>
      <c r="D3" s="159"/>
      <c r="E3" s="159"/>
      <c r="F3" s="159"/>
      <c r="G3" s="159"/>
      <c r="H3" s="159"/>
      <c r="I3" s="159"/>
      <c r="J3" s="159"/>
      <c r="K3" s="159"/>
      <c r="L3" s="159"/>
      <c r="M3" s="159"/>
      <c r="N3" s="159"/>
      <c r="O3" s="159"/>
      <c r="P3" s="159"/>
    </row>
    <row r="5" spans="1:23" ht="86.4" x14ac:dyDescent="0.3">
      <c r="A5" s="161" t="s">
        <v>498</v>
      </c>
      <c r="B5" s="22"/>
      <c r="C5" s="22"/>
      <c r="D5" s="22"/>
      <c r="E5" s="22"/>
      <c r="F5" s="22"/>
      <c r="G5" s="22"/>
      <c r="H5" s="22"/>
      <c r="I5" s="22"/>
      <c r="J5" s="22"/>
      <c r="K5" s="22"/>
      <c r="L5" s="22"/>
      <c r="M5" s="22"/>
      <c r="N5" s="22"/>
      <c r="O5" s="22"/>
      <c r="P5" s="22"/>
      <c r="Q5" s="24"/>
      <c r="R5" s="24"/>
      <c r="S5" s="24"/>
      <c r="T5" s="24"/>
      <c r="U5" s="24"/>
      <c r="V5" s="24"/>
      <c r="W5" s="24"/>
    </row>
    <row r="7" spans="1:23" ht="43.2" x14ac:dyDescent="0.3">
      <c r="A7" s="158" t="s">
        <v>499</v>
      </c>
      <c r="B7" s="21"/>
      <c r="C7" s="21"/>
      <c r="D7" s="21"/>
      <c r="E7" s="21"/>
      <c r="F7" s="21"/>
    </row>
    <row r="9" spans="1:23" ht="43.2" x14ac:dyDescent="0.3">
      <c r="A9" s="158" t="s">
        <v>500</v>
      </c>
    </row>
  </sheetData>
  <mergeCells count="1">
    <mergeCell ref="B1:E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071F5-C758-4474-9FFB-59DC204C79AB}">
  <dimension ref="A1:N53"/>
  <sheetViews>
    <sheetView topLeftCell="A31" workbookViewId="0">
      <selection activeCell="D48" sqref="D48"/>
    </sheetView>
  </sheetViews>
  <sheetFormatPr defaultRowHeight="14.4" x14ac:dyDescent="0.3"/>
  <cols>
    <col min="1" max="1" width="58.5546875" bestFit="1" customWidth="1"/>
    <col min="2" max="2" width="20.21875" bestFit="1" customWidth="1"/>
    <col min="3" max="3" width="24.5546875" bestFit="1" customWidth="1"/>
    <col min="4" max="4" width="11.21875" bestFit="1" customWidth="1"/>
    <col min="5" max="5" width="16.44140625" bestFit="1" customWidth="1"/>
    <col min="6" max="6" width="9.77734375" bestFit="1" customWidth="1"/>
    <col min="7" max="7" width="11.21875" bestFit="1" customWidth="1"/>
    <col min="8" max="8" width="14.88671875" bestFit="1" customWidth="1"/>
    <col min="9" max="9" width="9.77734375" bestFit="1" customWidth="1"/>
    <col min="10" max="10" width="11.21875" bestFit="1" customWidth="1"/>
    <col min="11" max="11" width="14.88671875" bestFit="1" customWidth="1"/>
    <col min="12" max="12" width="9.77734375" bestFit="1" customWidth="1"/>
    <col min="13" max="13" width="11.21875" bestFit="1" customWidth="1"/>
    <col min="14" max="14" width="14.88671875" bestFit="1" customWidth="1"/>
    <col min="15" max="15" width="9.77734375" bestFit="1" customWidth="1"/>
    <col min="16" max="16" width="11.21875" bestFit="1" customWidth="1"/>
    <col min="17" max="17" width="14.88671875" bestFit="1" customWidth="1"/>
    <col min="18" max="18" width="9.77734375" bestFit="1" customWidth="1"/>
    <col min="19" max="19" width="11.21875" bestFit="1" customWidth="1"/>
    <col min="20" max="20" width="14.88671875" bestFit="1" customWidth="1"/>
  </cols>
  <sheetData>
    <row r="1" spans="1:7" ht="25.8" x14ac:dyDescent="0.5">
      <c r="A1" s="34" t="s">
        <v>398</v>
      </c>
      <c r="B1" s="168" t="s">
        <v>486</v>
      </c>
      <c r="C1" s="168"/>
      <c r="D1" s="35"/>
    </row>
    <row r="3" spans="1:7" ht="15" thickBot="1" x14ac:dyDescent="0.35"/>
    <row r="4" spans="1:7" ht="15" thickBot="1" x14ac:dyDescent="0.35">
      <c r="A4" s="32" t="s">
        <v>399</v>
      </c>
      <c r="B4" s="39" t="s">
        <v>1</v>
      </c>
      <c r="C4" s="40" t="s">
        <v>400</v>
      </c>
      <c r="E4" s="32"/>
      <c r="F4" s="32" t="s">
        <v>402</v>
      </c>
      <c r="G4" s="32"/>
    </row>
    <row r="5" spans="1:7" x14ac:dyDescent="0.3">
      <c r="B5" s="44" t="s">
        <v>38</v>
      </c>
      <c r="C5" s="41">
        <f>AVERAGEIF(Posts!B2:B301,'Task 2'!B5,Posts!R2:R301)</f>
        <v>0.12197289956132547</v>
      </c>
      <c r="F5" s="37" t="s">
        <v>403</v>
      </c>
    </row>
    <row r="6" spans="1:7" x14ac:dyDescent="0.3">
      <c r="B6" s="45" t="s">
        <v>30</v>
      </c>
      <c r="C6" s="42">
        <f>AVERAGEIF(Posts!B3:B302,'Task 2'!B6,Posts!R3:R302)</f>
        <v>0.19329257693923488</v>
      </c>
      <c r="F6" s="37"/>
    </row>
    <row r="7" spans="1:7" x14ac:dyDescent="0.3">
      <c r="B7" s="45" t="s">
        <v>14</v>
      </c>
      <c r="C7" s="42">
        <f>AVERAGEIF(Posts!B4:B303,'Task 2'!B7,Posts!R4:R303)</f>
        <v>0.14524914854712193</v>
      </c>
    </row>
    <row r="8" spans="1:7" ht="15" thickBot="1" x14ac:dyDescent="0.35">
      <c r="B8" s="46" t="s">
        <v>25</v>
      </c>
      <c r="C8" s="43">
        <f>AVERAGEIF(Posts!B5:B304,'Task 2'!B8,Posts!R5:R304)</f>
        <v>0.13248930742302001</v>
      </c>
    </row>
    <row r="10" spans="1:7" ht="15" thickBot="1" x14ac:dyDescent="0.35"/>
    <row r="11" spans="1:7" ht="15" thickBot="1" x14ac:dyDescent="0.35">
      <c r="A11" s="32" t="s">
        <v>401</v>
      </c>
      <c r="B11" s="39" t="s">
        <v>0</v>
      </c>
      <c r="C11" s="40" t="s">
        <v>373</v>
      </c>
      <c r="F11" s="32" t="s">
        <v>402</v>
      </c>
    </row>
    <row r="12" spans="1:7" x14ac:dyDescent="0.3">
      <c r="B12" s="44" t="str">
        <f>INDEX(Posts!$A$2:$A$301,MATCH(LARGE(Posts!$R$2:$R$301,ROW(Posts!A1)),Posts!$R$2:$R$301,0))</f>
        <v>P220</v>
      </c>
      <c r="C12" s="41">
        <f>INDEX(Posts!$R$2:$R$301,MATCH('Task 2'!B12,Posts!$A$2:$A$301,0))</f>
        <v>1.8129251700680271</v>
      </c>
      <c r="E12" s="36" t="s">
        <v>0</v>
      </c>
      <c r="F12" s="37" t="s">
        <v>404</v>
      </c>
    </row>
    <row r="13" spans="1:7" x14ac:dyDescent="0.3">
      <c r="B13" s="45" t="str">
        <f>INDEX(Posts!$A$2:$A$301,MATCH(LARGE(Posts!$R$2:$R$301,ROW(Posts!A2)),Posts!$R$2:$R$301,0))</f>
        <v>P058</v>
      </c>
      <c r="C13" s="42">
        <f>INDEX(Posts!$R$2:$R$301,MATCH('Task 2'!B13,Posts!$A$2:$A$301,0))</f>
        <v>0.86601941747572819</v>
      </c>
      <c r="D13" s="33"/>
      <c r="F13" s="37"/>
    </row>
    <row r="14" spans="1:7" x14ac:dyDescent="0.3">
      <c r="B14" s="45" t="str">
        <f>INDEX(Posts!$A$2:$A$301,MATCH(LARGE(Posts!$R$2:$R$301,ROW(Posts!A3)),Posts!$R$2:$R$301,0))</f>
        <v>P232</v>
      </c>
      <c r="C14" s="42">
        <f>INDEX(Posts!$R$2:$R$301,MATCH('Task 2'!B14,Posts!$A$2:$A$301,0))</f>
        <v>0.7168674698795181</v>
      </c>
      <c r="D14" s="33"/>
      <c r="E14" s="36" t="s">
        <v>373</v>
      </c>
      <c r="F14" s="37" t="s">
        <v>405</v>
      </c>
    </row>
    <row r="15" spans="1:7" x14ac:dyDescent="0.3">
      <c r="B15" s="45" t="str">
        <f>INDEX(Posts!$A$2:$A$301,MATCH(LARGE(Posts!$R$2:$R$301,ROW(Posts!A4)),Posts!$R$2:$R$301,0))</f>
        <v>P178</v>
      </c>
      <c r="C15" s="42">
        <f>INDEX(Posts!$R$2:$R$301,MATCH('Task 2'!B15,Posts!$A$2:$A$301,0))</f>
        <v>0.70387596899224802</v>
      </c>
      <c r="D15" s="33"/>
      <c r="F15" s="37"/>
    </row>
    <row r="16" spans="1:7" x14ac:dyDescent="0.3">
      <c r="B16" s="45" t="str">
        <f>INDEX(Posts!$A$2:$A$301,MATCH(LARGE(Posts!$R$2:$R$301,ROW(Posts!A5)),Posts!$R$2:$R$301,0))</f>
        <v>P175</v>
      </c>
      <c r="C16" s="42">
        <f>INDEX(Posts!$R$2:$R$301,MATCH('Task 2'!B16,Posts!$A$2:$A$301,0))</f>
        <v>0.6508215962441315</v>
      </c>
      <c r="D16" s="33"/>
    </row>
    <row r="17" spans="1:14" x14ac:dyDescent="0.3">
      <c r="B17" s="45" t="str">
        <f>INDEX(Posts!$A$2:$A$301,MATCH(LARGE(Posts!$R$2:$R$301,ROW(Posts!A6)),Posts!$R$2:$R$301,0))</f>
        <v>P062</v>
      </c>
      <c r="C17" s="42">
        <f>INDEX(Posts!$R$2:$R$301,MATCH('Task 2'!B17,Posts!$A$2:$A$301,0))</f>
        <v>0.53773584905660377</v>
      </c>
      <c r="D17" s="33"/>
    </row>
    <row r="18" spans="1:14" x14ac:dyDescent="0.3">
      <c r="B18" s="45" t="str">
        <f>INDEX(Posts!$A$2:$A$301,MATCH(LARGE(Posts!$R$2:$R$301,ROW(Posts!A7)),Posts!$R$2:$R$301,0))</f>
        <v>P264</v>
      </c>
      <c r="C18" s="42">
        <f>INDEX(Posts!$R$2:$R$301,MATCH('Task 2'!B18,Posts!$A$2:$A$301,0))</f>
        <v>0.53389830508474578</v>
      </c>
      <c r="D18" s="33"/>
    </row>
    <row r="19" spans="1:14" x14ac:dyDescent="0.3">
      <c r="B19" s="45" t="str">
        <f>INDEX(Posts!$A$2:$A$301,MATCH(LARGE(Posts!$R$2:$R$301,ROW(Posts!A8)),Posts!$R$2:$R$301,0))</f>
        <v>P143</v>
      </c>
      <c r="C19" s="42">
        <f>INDEX(Posts!$R$2:$R$301,MATCH('Task 2'!B19,Posts!$A$2:$A$301,0))</f>
        <v>0.50192307692307692</v>
      </c>
      <c r="D19" s="33"/>
    </row>
    <row r="20" spans="1:14" x14ac:dyDescent="0.3">
      <c r="B20" s="45" t="str">
        <f>INDEX(Posts!$A$2:$A$301,MATCH(LARGE(Posts!$R$2:$R$301,ROW(Posts!A9)),Posts!$R$2:$R$301,0))</f>
        <v>P210</v>
      </c>
      <c r="C20" s="42">
        <f>INDEX(Posts!$R$2:$R$301,MATCH('Task 2'!B20,Posts!$A$2:$A$301,0))</f>
        <v>0.48518407662376534</v>
      </c>
      <c r="D20" s="33"/>
    </row>
    <row r="21" spans="1:14" ht="15" thickBot="1" x14ac:dyDescent="0.35">
      <c r="B21" s="46" t="str">
        <f>INDEX(Posts!$A$2:$A$301,MATCH(LARGE(Posts!$R$2:$R$301,ROW(Posts!A10)),Posts!$R$2:$R$301,0))</f>
        <v>P070</v>
      </c>
      <c r="C21" s="43">
        <f>INDEX(Posts!$R$2:$R$301,MATCH('Task 2'!B21,Posts!$A$2:$A$301,0))</f>
        <v>0.38274706867671693</v>
      </c>
      <c r="D21" s="33"/>
    </row>
    <row r="24" spans="1:14" x14ac:dyDescent="0.3">
      <c r="A24" s="32" t="s">
        <v>406</v>
      </c>
    </row>
    <row r="25" spans="1:14" x14ac:dyDescent="0.3">
      <c r="A25" s="32" t="s">
        <v>407</v>
      </c>
      <c r="C25" s="47" t="s">
        <v>409</v>
      </c>
    </row>
    <row r="26" spans="1:14" x14ac:dyDescent="0.3">
      <c r="C26" t="s">
        <v>38</v>
      </c>
      <c r="F26" t="s">
        <v>30</v>
      </c>
      <c r="I26" t="s">
        <v>14</v>
      </c>
      <c r="L26" t="s">
        <v>25</v>
      </c>
    </row>
    <row r="27" spans="1:14" x14ac:dyDescent="0.3">
      <c r="B27" s="47" t="s">
        <v>3</v>
      </c>
      <c r="C27" t="s">
        <v>410</v>
      </c>
      <c r="D27" t="s">
        <v>411</v>
      </c>
      <c r="E27" t="s">
        <v>412</v>
      </c>
      <c r="F27" t="s">
        <v>410</v>
      </c>
      <c r="G27" t="s">
        <v>411</v>
      </c>
      <c r="H27" t="s">
        <v>412</v>
      </c>
      <c r="I27" t="s">
        <v>410</v>
      </c>
      <c r="J27" t="s">
        <v>411</v>
      </c>
      <c r="K27" t="s">
        <v>412</v>
      </c>
      <c r="L27" t="s">
        <v>410</v>
      </c>
      <c r="M27" t="s">
        <v>411</v>
      </c>
      <c r="N27" t="s">
        <v>412</v>
      </c>
    </row>
    <row r="28" spans="1:14" x14ac:dyDescent="0.3">
      <c r="B28" s="24" t="s">
        <v>39</v>
      </c>
      <c r="C28" s="20">
        <v>44476</v>
      </c>
      <c r="D28" s="20">
        <v>7400</v>
      </c>
      <c r="E28" s="20">
        <v>4589</v>
      </c>
      <c r="F28" s="20">
        <v>43948</v>
      </c>
      <c r="G28" s="20">
        <v>6975</v>
      </c>
      <c r="H28" s="20">
        <v>3890</v>
      </c>
      <c r="I28" s="20">
        <v>48649</v>
      </c>
      <c r="J28" s="20">
        <v>5791</v>
      </c>
      <c r="K28" s="20">
        <v>3607</v>
      </c>
      <c r="L28" s="20">
        <v>24926</v>
      </c>
      <c r="M28" s="20">
        <v>6305</v>
      </c>
      <c r="N28" s="20">
        <v>2422</v>
      </c>
    </row>
    <row r="29" spans="1:14" x14ac:dyDescent="0.3">
      <c r="B29" s="24" t="s">
        <v>44</v>
      </c>
      <c r="C29" s="20">
        <v>71602</v>
      </c>
      <c r="D29" s="20">
        <v>12904</v>
      </c>
      <c r="E29" s="20">
        <v>6495</v>
      </c>
      <c r="F29" s="20">
        <v>34202</v>
      </c>
      <c r="G29" s="20">
        <v>5286</v>
      </c>
      <c r="H29" s="20">
        <v>2655</v>
      </c>
      <c r="I29" s="20">
        <v>43761</v>
      </c>
      <c r="J29" s="20">
        <v>7110</v>
      </c>
      <c r="K29" s="20">
        <v>5125</v>
      </c>
      <c r="L29" s="20">
        <v>23903</v>
      </c>
      <c r="M29" s="20">
        <v>4310</v>
      </c>
      <c r="N29" s="20">
        <v>2077</v>
      </c>
    </row>
    <row r="30" spans="1:14" x14ac:dyDescent="0.3">
      <c r="B30" s="24" t="s">
        <v>15</v>
      </c>
      <c r="C30" s="20">
        <v>36368</v>
      </c>
      <c r="D30" s="20">
        <v>5964</v>
      </c>
      <c r="E30" s="20">
        <v>3353</v>
      </c>
      <c r="F30" s="20">
        <v>32148</v>
      </c>
      <c r="G30" s="20">
        <v>8110</v>
      </c>
      <c r="H30" s="20">
        <v>3386</v>
      </c>
      <c r="I30" s="20">
        <v>27029</v>
      </c>
      <c r="J30" s="20">
        <v>4550</v>
      </c>
      <c r="K30" s="20">
        <v>1913</v>
      </c>
      <c r="L30" s="20">
        <v>32400</v>
      </c>
      <c r="M30" s="20">
        <v>4577</v>
      </c>
      <c r="N30" s="20">
        <v>2668</v>
      </c>
    </row>
    <row r="31" spans="1:14" x14ac:dyDescent="0.3">
      <c r="B31" s="24" t="s">
        <v>31</v>
      </c>
      <c r="C31" s="20">
        <v>29405</v>
      </c>
      <c r="D31" s="20">
        <v>4950</v>
      </c>
      <c r="E31" s="20">
        <v>3223</v>
      </c>
      <c r="F31" s="20">
        <v>42649</v>
      </c>
      <c r="G31" s="20">
        <v>10049</v>
      </c>
      <c r="H31" s="20">
        <v>3846</v>
      </c>
      <c r="I31" s="20">
        <v>20466</v>
      </c>
      <c r="J31" s="20">
        <v>5090</v>
      </c>
      <c r="K31" s="20">
        <v>3026</v>
      </c>
      <c r="L31" s="20">
        <v>31968</v>
      </c>
      <c r="M31" s="20">
        <v>3866</v>
      </c>
      <c r="N31" s="20">
        <v>2012</v>
      </c>
    </row>
    <row r="32" spans="1:14" x14ac:dyDescent="0.3">
      <c r="B32" s="24" t="s">
        <v>20</v>
      </c>
      <c r="C32" s="20">
        <v>31963</v>
      </c>
      <c r="D32" s="20">
        <v>4792</v>
      </c>
      <c r="E32" s="20">
        <v>3377</v>
      </c>
      <c r="F32" s="20">
        <v>25567</v>
      </c>
      <c r="G32" s="20">
        <v>5112</v>
      </c>
      <c r="H32" s="20">
        <v>1946</v>
      </c>
      <c r="I32" s="20">
        <v>31899</v>
      </c>
      <c r="J32" s="20">
        <v>4861</v>
      </c>
      <c r="K32" s="20">
        <v>3910</v>
      </c>
      <c r="L32" s="20">
        <v>27067</v>
      </c>
      <c r="M32" s="20">
        <v>3928</v>
      </c>
      <c r="N32" s="20">
        <v>1052</v>
      </c>
    </row>
    <row r="33" spans="1:14" x14ac:dyDescent="0.3">
      <c r="B33" s="24" t="s">
        <v>59</v>
      </c>
      <c r="C33" s="20">
        <v>28947</v>
      </c>
      <c r="D33" s="20">
        <v>3171</v>
      </c>
      <c r="E33" s="20">
        <v>2263</v>
      </c>
      <c r="F33" s="20">
        <v>25770</v>
      </c>
      <c r="G33" s="20">
        <v>5912</v>
      </c>
      <c r="H33" s="20">
        <v>2128</v>
      </c>
      <c r="I33" s="20">
        <v>29593</v>
      </c>
      <c r="J33" s="20">
        <v>6326</v>
      </c>
      <c r="K33" s="20">
        <v>3299</v>
      </c>
      <c r="L33" s="20">
        <v>31285</v>
      </c>
      <c r="M33" s="20">
        <v>5586</v>
      </c>
      <c r="N33" s="20">
        <v>2589</v>
      </c>
    </row>
    <row r="34" spans="1:14" x14ac:dyDescent="0.3">
      <c r="B34" s="24" t="s">
        <v>408</v>
      </c>
      <c r="C34" s="20">
        <v>242761</v>
      </c>
      <c r="D34" s="20">
        <v>39181</v>
      </c>
      <c r="E34" s="20">
        <v>23300</v>
      </c>
      <c r="F34" s="20">
        <v>204284</v>
      </c>
      <c r="G34" s="20">
        <v>41444</v>
      </c>
      <c r="H34" s="20">
        <v>17851</v>
      </c>
      <c r="I34" s="20">
        <v>201397</v>
      </c>
      <c r="J34" s="20">
        <v>33728</v>
      </c>
      <c r="K34" s="20">
        <v>20880</v>
      </c>
      <c r="L34" s="20">
        <v>171549</v>
      </c>
      <c r="M34" s="20">
        <v>28572</v>
      </c>
      <c r="N34" s="20">
        <v>12820</v>
      </c>
    </row>
    <row r="37" spans="1:14" x14ac:dyDescent="0.3">
      <c r="A37" s="32" t="s">
        <v>413</v>
      </c>
      <c r="B37" s="49" t="s">
        <v>417</v>
      </c>
      <c r="C37" s="38" t="s">
        <v>418</v>
      </c>
    </row>
    <row r="38" spans="1:14" ht="14.4" customHeight="1" x14ac:dyDescent="0.3">
      <c r="A38" s="164" t="s">
        <v>416</v>
      </c>
      <c r="B38" s="24" t="s">
        <v>392</v>
      </c>
      <c r="C38" s="16">
        <v>161.19999999999999</v>
      </c>
    </row>
    <row r="39" spans="1:14" x14ac:dyDescent="0.3">
      <c r="A39" s="164"/>
      <c r="B39" s="24" t="s">
        <v>393</v>
      </c>
      <c r="C39" s="16">
        <v>114.85714285714286</v>
      </c>
    </row>
    <row r="40" spans="1:14" x14ac:dyDescent="0.3">
      <c r="A40" s="164"/>
      <c r="B40" s="24" t="s">
        <v>51</v>
      </c>
      <c r="C40" s="16">
        <v>144.03883495145632</v>
      </c>
    </row>
    <row r="41" spans="1:14" x14ac:dyDescent="0.3">
      <c r="A41" s="164"/>
      <c r="B41" s="24" t="s">
        <v>27</v>
      </c>
      <c r="C41" s="16">
        <v>158.65420560747663</v>
      </c>
    </row>
    <row r="42" spans="1:14" x14ac:dyDescent="0.3">
      <c r="B42" s="24" t="s">
        <v>388</v>
      </c>
      <c r="C42" s="16">
        <v>111.8</v>
      </c>
    </row>
    <row r="43" spans="1:14" x14ac:dyDescent="0.3">
      <c r="B43" s="24" t="s">
        <v>33</v>
      </c>
      <c r="C43" s="16">
        <v>151.52941176470588</v>
      </c>
    </row>
    <row r="44" spans="1:14" x14ac:dyDescent="0.3">
      <c r="B44" s="24" t="s">
        <v>408</v>
      </c>
      <c r="C44" s="16">
        <v>150.58702064896755</v>
      </c>
    </row>
    <row r="46" spans="1:14" ht="15" thickBot="1" x14ac:dyDescent="0.35"/>
    <row r="47" spans="1:14" ht="15" thickBot="1" x14ac:dyDescent="0.35">
      <c r="A47" s="165" t="s">
        <v>419</v>
      </c>
      <c r="B47" s="63" t="str">
        <f t="shared" ref="B47:C53" si="0">B37</f>
        <v>Hashtags</v>
      </c>
      <c r="C47" s="64" t="str">
        <f t="shared" si="0"/>
        <v>Average Clicks</v>
      </c>
      <c r="D47" s="64" t="s">
        <v>420</v>
      </c>
      <c r="G47" s="32" t="s">
        <v>402</v>
      </c>
    </row>
    <row r="48" spans="1:14" x14ac:dyDescent="0.3">
      <c r="A48" s="165"/>
      <c r="B48" s="55" t="str">
        <f t="shared" si="0"/>
        <v>#AnytimeIsPepsiTime</v>
      </c>
      <c r="C48" s="59">
        <f t="shared" si="0"/>
        <v>161.19999999999999</v>
      </c>
      <c r="D48" s="58">
        <f t="shared" ref="D48:D53" si="1">_xlfn.RANK.EQ(C48,$C$48:$C$53,0)</f>
        <v>1</v>
      </c>
      <c r="G48" s="166" t="s">
        <v>421</v>
      </c>
      <c r="H48" s="166"/>
      <c r="I48" s="166"/>
    </row>
    <row r="49" spans="1:4" x14ac:dyDescent="0.3">
      <c r="B49" s="56" t="str">
        <f t="shared" si="0"/>
        <v>#BetterWithPepsi</v>
      </c>
      <c r="C49" s="60">
        <f t="shared" si="0"/>
        <v>114.85714285714286</v>
      </c>
      <c r="D49" s="58">
        <f t="shared" si="1"/>
        <v>5</v>
      </c>
    </row>
    <row r="50" spans="1:4" x14ac:dyDescent="0.3">
      <c r="A50" s="167" t="s">
        <v>422</v>
      </c>
      <c r="B50" s="56" t="str">
        <f t="shared" si="0"/>
        <v>#LiveForNow</v>
      </c>
      <c r="C50" s="60">
        <f t="shared" si="0"/>
        <v>144.03883495145632</v>
      </c>
      <c r="D50" s="58">
        <f t="shared" si="1"/>
        <v>4</v>
      </c>
    </row>
    <row r="51" spans="1:4" x14ac:dyDescent="0.3">
      <c r="A51" s="167"/>
      <c r="B51" s="56" t="str">
        <f t="shared" si="0"/>
        <v>#PepsiCoRefresh</v>
      </c>
      <c r="C51" s="60">
        <f t="shared" si="0"/>
        <v>158.65420560747663</v>
      </c>
      <c r="D51" s="58">
        <f t="shared" si="1"/>
        <v>2</v>
      </c>
    </row>
    <row r="52" spans="1:4" x14ac:dyDescent="0.3">
      <c r="B52" s="56" t="str">
        <f t="shared" si="0"/>
        <v>#SmoothLikeNitroPepsi</v>
      </c>
      <c r="C52" s="60">
        <f t="shared" si="0"/>
        <v>111.8</v>
      </c>
      <c r="D52" s="58">
        <f t="shared" si="1"/>
        <v>6</v>
      </c>
    </row>
    <row r="53" spans="1:4" ht="15" thickBot="1" x14ac:dyDescent="0.35">
      <c r="B53" s="57" t="str">
        <f t="shared" si="0"/>
        <v>#ThirstyForMore</v>
      </c>
      <c r="C53" s="61">
        <f t="shared" si="0"/>
        <v>151.52941176470588</v>
      </c>
      <c r="D53" s="66">
        <f t="shared" si="1"/>
        <v>3</v>
      </c>
    </row>
  </sheetData>
  <mergeCells count="5">
    <mergeCell ref="A38:A41"/>
    <mergeCell ref="A47:A48"/>
    <mergeCell ref="G48:I48"/>
    <mergeCell ref="A50:A51"/>
    <mergeCell ref="B1:C1"/>
  </mergeCells>
  <phoneticPr fontId="15" type="noConversion"/>
  <conditionalFormatting sqref="D48:D53">
    <cfRule type="expression" dxfId="0" priority="1">
      <formula>$D48&lt;=3</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2794A-57CF-4DAB-8289-46E1182AA8D5}">
  <dimension ref="A1:P58"/>
  <sheetViews>
    <sheetView topLeftCell="A46" workbookViewId="0">
      <selection activeCell="E33" sqref="E33"/>
    </sheetView>
  </sheetViews>
  <sheetFormatPr defaultRowHeight="14.4" x14ac:dyDescent="0.3"/>
  <cols>
    <col min="1" max="1" width="64.77734375" bestFit="1" customWidth="1"/>
    <col min="3" max="3" width="10.77734375" bestFit="1" customWidth="1"/>
    <col min="4" max="4" width="17.33203125" bestFit="1" customWidth="1"/>
    <col min="5" max="5" width="24" bestFit="1" customWidth="1"/>
    <col min="6" max="6" width="22" bestFit="1" customWidth="1"/>
    <col min="7" max="7" width="12.6640625" bestFit="1" customWidth="1"/>
    <col min="8" max="8" width="12.5546875" bestFit="1" customWidth="1"/>
    <col min="9" max="9" width="10.5546875" bestFit="1" customWidth="1"/>
    <col min="11" max="11" width="12.5546875" bestFit="1" customWidth="1"/>
  </cols>
  <sheetData>
    <row r="1" spans="1:16" ht="25.8" x14ac:dyDescent="0.5">
      <c r="A1" s="34" t="s">
        <v>424</v>
      </c>
      <c r="B1" s="168" t="s">
        <v>487</v>
      </c>
      <c r="C1" s="168"/>
      <c r="D1" s="168"/>
      <c r="E1" s="168"/>
    </row>
    <row r="4" spans="1:16" x14ac:dyDescent="0.3">
      <c r="A4" s="32" t="s">
        <v>425</v>
      </c>
      <c r="C4" s="47" t="s">
        <v>1</v>
      </c>
      <c r="D4" t="s">
        <v>426</v>
      </c>
      <c r="E4" t="s">
        <v>427</v>
      </c>
    </row>
    <row r="5" spans="1:16" x14ac:dyDescent="0.3">
      <c r="C5" s="24" t="s">
        <v>38</v>
      </c>
      <c r="D5" s="20">
        <v>305242</v>
      </c>
      <c r="E5" s="76">
        <v>0.12197289956132547</v>
      </c>
    </row>
    <row r="6" spans="1:16" x14ac:dyDescent="0.3">
      <c r="C6" s="24" t="s">
        <v>30</v>
      </c>
      <c r="D6" s="20">
        <v>263579</v>
      </c>
      <c r="E6" s="76">
        <v>0.19329257693923488</v>
      </c>
    </row>
    <row r="7" spans="1:16" x14ac:dyDescent="0.3">
      <c r="C7" s="24" t="s">
        <v>14</v>
      </c>
      <c r="D7" s="20">
        <v>256005</v>
      </c>
      <c r="E7" s="76">
        <v>0.14368407434207892</v>
      </c>
    </row>
    <row r="8" spans="1:16" x14ac:dyDescent="0.3">
      <c r="C8" s="24" t="s">
        <v>25</v>
      </c>
      <c r="D8" s="20">
        <v>212941</v>
      </c>
      <c r="E8" s="76">
        <v>0.13118493770753806</v>
      </c>
    </row>
    <row r="9" spans="1:16" x14ac:dyDescent="0.3">
      <c r="C9" s="24" t="s">
        <v>408</v>
      </c>
      <c r="D9" s="20">
        <v>1037767</v>
      </c>
      <c r="E9" s="76">
        <v>0.14828272479852853</v>
      </c>
    </row>
    <row r="12" spans="1:16" ht="15" thickBot="1" x14ac:dyDescent="0.35">
      <c r="L12" s="65"/>
    </row>
    <row r="13" spans="1:16" ht="15" thickBot="1" x14ac:dyDescent="0.35">
      <c r="A13" s="32" t="s">
        <v>428</v>
      </c>
      <c r="C13" s="62" t="s">
        <v>430</v>
      </c>
      <c r="D13" s="62" t="s">
        <v>431</v>
      </c>
      <c r="F13" s="169" t="s">
        <v>432</v>
      </c>
      <c r="G13" s="170"/>
      <c r="H13" s="170"/>
      <c r="I13" s="171"/>
      <c r="K13" s="32" t="s">
        <v>402</v>
      </c>
      <c r="L13" s="172" t="s">
        <v>437</v>
      </c>
      <c r="M13" s="172"/>
      <c r="N13" s="172"/>
      <c r="O13" s="172"/>
      <c r="P13" s="172"/>
    </row>
    <row r="14" spans="1:16" ht="15" thickBot="1" x14ac:dyDescent="0.35">
      <c r="C14" s="77">
        <v>45446</v>
      </c>
      <c r="D14" s="77">
        <v>45789</v>
      </c>
      <c r="F14" s="82" t="s">
        <v>433</v>
      </c>
      <c r="G14" s="80" t="s">
        <v>434</v>
      </c>
      <c r="H14" s="80" t="s">
        <v>435</v>
      </c>
      <c r="I14" s="81" t="s">
        <v>436</v>
      </c>
    </row>
    <row r="15" spans="1:16" x14ac:dyDescent="0.3">
      <c r="F15" s="78" t="s">
        <v>30</v>
      </c>
      <c r="G15" s="54">
        <v>344084</v>
      </c>
      <c r="H15" s="86">
        <v>468301</v>
      </c>
      <c r="I15" s="87">
        <f>(H15-G15)/G15</f>
        <v>0.36100777717069088</v>
      </c>
    </row>
    <row r="16" spans="1:16" x14ac:dyDescent="0.3">
      <c r="F16" s="78" t="s">
        <v>38</v>
      </c>
      <c r="G16" s="52">
        <v>42654</v>
      </c>
      <c r="H16" s="51">
        <v>364820</v>
      </c>
      <c r="I16" s="83">
        <f t="shared" ref="I16:I18" si="0">(H16-G16)/G16</f>
        <v>7.5530079242275052</v>
      </c>
    </row>
    <row r="17" spans="1:9" x14ac:dyDescent="0.3">
      <c r="F17" s="78" t="s">
        <v>14</v>
      </c>
      <c r="G17" s="52">
        <v>146834</v>
      </c>
      <c r="H17" s="51">
        <v>456298</v>
      </c>
      <c r="I17" s="83">
        <f t="shared" si="0"/>
        <v>2.1075772641213888</v>
      </c>
    </row>
    <row r="18" spans="1:9" ht="15" thickBot="1" x14ac:dyDescent="0.35">
      <c r="F18" s="79" t="s">
        <v>25</v>
      </c>
      <c r="G18" s="53">
        <v>395536</v>
      </c>
      <c r="H18" s="84">
        <v>82558</v>
      </c>
      <c r="I18" s="85">
        <f t="shared" si="0"/>
        <v>-0.79127563609886331</v>
      </c>
    </row>
    <row r="32" spans="1:9" x14ac:dyDescent="0.3">
      <c r="A32" s="32" t="s">
        <v>438</v>
      </c>
      <c r="C32" s="88" t="s">
        <v>1</v>
      </c>
      <c r="D32" s="89" t="s">
        <v>439</v>
      </c>
      <c r="E32" s="88" t="s">
        <v>440</v>
      </c>
      <c r="F32" s="88" t="s">
        <v>441</v>
      </c>
      <c r="H32" s="32" t="s">
        <v>402</v>
      </c>
    </row>
    <row r="33" spans="3:10" x14ac:dyDescent="0.3">
      <c r="C33" s="90" t="s">
        <v>38</v>
      </c>
      <c r="D33" s="91">
        <v>305242</v>
      </c>
      <c r="E33" s="93">
        <v>1379539</v>
      </c>
      <c r="F33" s="92">
        <f>D33/E33</f>
        <v>0.22126376999852848</v>
      </c>
      <c r="H33" s="173" t="s">
        <v>442</v>
      </c>
      <c r="I33" s="173"/>
      <c r="J33" s="173"/>
    </row>
    <row r="34" spans="3:10" x14ac:dyDescent="0.3">
      <c r="C34" s="90" t="s">
        <v>30</v>
      </c>
      <c r="D34" s="91">
        <v>263579</v>
      </c>
      <c r="E34" s="93">
        <v>1164373</v>
      </c>
      <c r="F34" s="92">
        <f t="shared" ref="F34:F36" si="1">D34/E34</f>
        <v>0.22636990036697863</v>
      </c>
    </row>
    <row r="35" spans="3:10" x14ac:dyDescent="0.3">
      <c r="C35" s="90" t="s">
        <v>14</v>
      </c>
      <c r="D35" s="91">
        <v>256005</v>
      </c>
      <c r="E35" s="93">
        <v>1060357</v>
      </c>
      <c r="F35" s="92">
        <f t="shared" si="1"/>
        <v>0.24143283818562994</v>
      </c>
    </row>
    <row r="36" spans="3:10" x14ac:dyDescent="0.3">
      <c r="C36" s="90" t="s">
        <v>25</v>
      </c>
      <c r="D36" s="91">
        <v>212941</v>
      </c>
      <c r="E36" s="93">
        <v>1228647</v>
      </c>
      <c r="F36" s="92">
        <f t="shared" si="1"/>
        <v>0.17331340897751754</v>
      </c>
    </row>
    <row r="58" spans="1:1" ht="43.2" x14ac:dyDescent="0.3">
      <c r="A58" s="94" t="s">
        <v>443</v>
      </c>
    </row>
  </sheetData>
  <mergeCells count="4">
    <mergeCell ref="F13:I13"/>
    <mergeCell ref="L13:P13"/>
    <mergeCell ref="H33:J33"/>
    <mergeCell ref="B1:E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36703-4006-45D4-B6EA-89DDAE47DDE3}">
  <dimension ref="A1:G33"/>
  <sheetViews>
    <sheetView topLeftCell="A28" workbookViewId="0">
      <selection activeCell="E30" sqref="E30"/>
    </sheetView>
  </sheetViews>
  <sheetFormatPr defaultRowHeight="14.4" x14ac:dyDescent="0.3"/>
  <cols>
    <col min="1" max="1" width="73.5546875" customWidth="1"/>
    <col min="3" max="3" width="24" bestFit="1" customWidth="1"/>
    <col min="4" max="4" width="12.44140625" bestFit="1" customWidth="1"/>
    <col min="5" max="5" width="17.6640625" bestFit="1" customWidth="1"/>
    <col min="6" max="6" width="14" bestFit="1" customWidth="1"/>
    <col min="7" max="7" width="13.109375" bestFit="1" customWidth="1"/>
    <col min="8" max="8" width="10.77734375" bestFit="1" customWidth="1"/>
  </cols>
  <sheetData>
    <row r="1" spans="1:7" ht="25.8" x14ac:dyDescent="0.5">
      <c r="A1" s="34" t="s">
        <v>444</v>
      </c>
      <c r="B1" s="168" t="s">
        <v>488</v>
      </c>
      <c r="C1" s="168"/>
      <c r="D1" s="168"/>
      <c r="E1" s="168"/>
    </row>
    <row r="2" spans="1:7" x14ac:dyDescent="0.3">
      <c r="A2" s="32" t="s">
        <v>445</v>
      </c>
      <c r="C2" s="47" t="s">
        <v>417</v>
      </c>
      <c r="D2" t="s">
        <v>446</v>
      </c>
    </row>
    <row r="3" spans="1:7" x14ac:dyDescent="0.3">
      <c r="C3" s="24" t="s">
        <v>392</v>
      </c>
      <c r="D3">
        <v>15</v>
      </c>
    </row>
    <row r="4" spans="1:7" x14ac:dyDescent="0.3">
      <c r="C4" s="24" t="s">
        <v>393</v>
      </c>
      <c r="D4">
        <v>7</v>
      </c>
    </row>
    <row r="5" spans="1:7" x14ac:dyDescent="0.3">
      <c r="C5" s="24" t="s">
        <v>51</v>
      </c>
      <c r="D5">
        <v>103</v>
      </c>
    </row>
    <row r="6" spans="1:7" x14ac:dyDescent="0.3">
      <c r="C6" s="24" t="s">
        <v>27</v>
      </c>
      <c r="D6">
        <v>107</v>
      </c>
    </row>
    <row r="7" spans="1:7" x14ac:dyDescent="0.3">
      <c r="C7" s="24" t="s">
        <v>388</v>
      </c>
      <c r="D7">
        <v>5</v>
      </c>
    </row>
    <row r="8" spans="1:7" x14ac:dyDescent="0.3">
      <c r="C8" s="24" t="s">
        <v>33</v>
      </c>
      <c r="D8">
        <v>102</v>
      </c>
    </row>
    <row r="9" spans="1:7" x14ac:dyDescent="0.3">
      <c r="C9" s="24" t="s">
        <v>408</v>
      </c>
      <c r="D9">
        <v>339</v>
      </c>
    </row>
    <row r="12" spans="1:7" ht="28.8" x14ac:dyDescent="0.3">
      <c r="A12" s="50" t="s">
        <v>501</v>
      </c>
    </row>
    <row r="13" spans="1:7" x14ac:dyDescent="0.3">
      <c r="C13" s="47" t="s">
        <v>417</v>
      </c>
      <c r="D13" t="s">
        <v>447</v>
      </c>
      <c r="E13" t="s">
        <v>448</v>
      </c>
      <c r="F13" t="s">
        <v>449</v>
      </c>
      <c r="G13" t="s">
        <v>418</v>
      </c>
    </row>
    <row r="14" spans="1:7" x14ac:dyDescent="0.3">
      <c r="C14" s="24" t="s">
        <v>392</v>
      </c>
      <c r="D14" s="16">
        <v>2219.6</v>
      </c>
      <c r="E14" s="16">
        <v>257.39999999999998</v>
      </c>
      <c r="F14" s="16">
        <v>423.93333333333334</v>
      </c>
      <c r="G14" s="16">
        <v>161.19999999999999</v>
      </c>
    </row>
    <row r="15" spans="1:7" x14ac:dyDescent="0.3">
      <c r="C15" s="24" t="s">
        <v>393</v>
      </c>
      <c r="D15" s="16">
        <v>3451.7142857142858</v>
      </c>
      <c r="E15" s="16">
        <v>151</v>
      </c>
      <c r="F15" s="16">
        <v>540.57142857142856</v>
      </c>
      <c r="G15" s="16">
        <v>114.85714285714286</v>
      </c>
    </row>
    <row r="16" spans="1:7" x14ac:dyDescent="0.3">
      <c r="C16" s="24" t="s">
        <v>51</v>
      </c>
      <c r="D16" s="16">
        <v>2634.7184466019417</v>
      </c>
      <c r="E16" s="16">
        <v>262.50485436893206</v>
      </c>
      <c r="F16" s="16">
        <v>508.63106796116506</v>
      </c>
      <c r="G16" s="16">
        <v>144.03883495145632</v>
      </c>
    </row>
    <row r="17" spans="1:7" x14ac:dyDescent="0.3">
      <c r="C17" s="24" t="s">
        <v>27</v>
      </c>
      <c r="D17" s="16">
        <v>2705.1028037383176</v>
      </c>
      <c r="E17" s="16">
        <v>254.18691588785046</v>
      </c>
      <c r="F17" s="16">
        <v>458.01869158878503</v>
      </c>
      <c r="G17" s="16">
        <v>158.65420560747663</v>
      </c>
    </row>
    <row r="18" spans="1:7" x14ac:dyDescent="0.3">
      <c r="C18" s="24" t="s">
        <v>388</v>
      </c>
      <c r="D18" s="16">
        <v>3127.8</v>
      </c>
      <c r="E18" s="16">
        <v>283.39999999999998</v>
      </c>
      <c r="F18" s="16">
        <v>356.2</v>
      </c>
      <c r="G18" s="16">
        <v>111.8</v>
      </c>
    </row>
    <row r="19" spans="1:7" x14ac:dyDescent="0.3">
      <c r="C19" s="24" t="s">
        <v>33</v>
      </c>
      <c r="D19" s="16">
        <v>2838.8039215686276</v>
      </c>
      <c r="E19" s="16">
        <v>230.95098039215685</v>
      </c>
      <c r="F19" s="16">
        <v>464.96078431372547</v>
      </c>
      <c r="G19" s="16">
        <v>151.52941176470588</v>
      </c>
    </row>
    <row r="20" spans="1:7" x14ac:dyDescent="0.3">
      <c r="C20" s="24" t="s">
        <v>408</v>
      </c>
      <c r="D20" s="16">
        <v>2724.1150442477874</v>
      </c>
      <c r="E20" s="16">
        <v>248.16519174041298</v>
      </c>
      <c r="F20" s="16">
        <v>474.17994100294987</v>
      </c>
      <c r="G20" s="16">
        <v>150.58702064896755</v>
      </c>
    </row>
    <row r="22" spans="1:7" x14ac:dyDescent="0.3">
      <c r="A22" s="95"/>
      <c r="C22" s="174" t="s">
        <v>450</v>
      </c>
      <c r="D22" s="174"/>
      <c r="E22" s="174"/>
      <c r="F22" s="174"/>
    </row>
    <row r="23" spans="1:7" x14ac:dyDescent="0.3">
      <c r="C23" s="174"/>
      <c r="D23" s="174"/>
      <c r="E23" s="174"/>
      <c r="F23" s="174"/>
    </row>
    <row r="26" spans="1:7" x14ac:dyDescent="0.3">
      <c r="A26" s="32" t="s">
        <v>451</v>
      </c>
      <c r="C26" s="47" t="s">
        <v>427</v>
      </c>
      <c r="D26" s="47" t="s">
        <v>1</v>
      </c>
    </row>
    <row r="27" spans="1:7" x14ac:dyDescent="0.3">
      <c r="C27" s="47" t="s">
        <v>3</v>
      </c>
      <c r="D27" t="s">
        <v>38</v>
      </c>
      <c r="E27" t="s">
        <v>30</v>
      </c>
      <c r="F27" t="s">
        <v>14</v>
      </c>
      <c r="G27" t="s">
        <v>25</v>
      </c>
    </row>
    <row r="28" spans="1:7" x14ac:dyDescent="0.3">
      <c r="C28" s="24" t="s">
        <v>39</v>
      </c>
      <c r="D28" s="76">
        <v>0.11820589815604368</v>
      </c>
      <c r="E28" s="76">
        <v>0.14358583471485062</v>
      </c>
      <c r="F28" s="76">
        <v>0.14537054868993235</v>
      </c>
      <c r="G28" s="76">
        <v>0.19045606016570182</v>
      </c>
    </row>
    <row r="29" spans="1:7" x14ac:dyDescent="0.3">
      <c r="C29" s="24" t="s">
        <v>44</v>
      </c>
      <c r="D29" s="76">
        <v>0.1174542452833237</v>
      </c>
      <c r="E29" s="76">
        <v>0.13475594394478943</v>
      </c>
      <c r="F29" s="76">
        <v>0.14530582715944346</v>
      </c>
      <c r="G29" s="76">
        <v>0.15035567844671385</v>
      </c>
    </row>
    <row r="30" spans="1:7" x14ac:dyDescent="0.3">
      <c r="C30" s="24" t="s">
        <v>59</v>
      </c>
      <c r="D30" s="76">
        <v>0.12378368203470033</v>
      </c>
      <c r="E30" s="76">
        <v>0.20035941736166224</v>
      </c>
      <c r="F30" s="76">
        <v>0.1122820670166424</v>
      </c>
      <c r="G30" s="76">
        <v>0.1219486277736385</v>
      </c>
    </row>
    <row r="33" spans="1:1" x14ac:dyDescent="0.3">
      <c r="A33" s="32" t="s">
        <v>452</v>
      </c>
    </row>
  </sheetData>
  <mergeCells count="2">
    <mergeCell ref="C22:F23"/>
    <mergeCell ref="B1:E1"/>
  </mergeCells>
  <conditionalFormatting pivot="1" sqref="D3">
    <cfRule type="expression" dxfId="6" priority="1">
      <formula>$D3&lt;=3</formula>
    </cfRule>
  </conditionalFormatting>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CE2CA-3BB9-4CBC-A28D-82FDFF95F0AC}">
  <dimension ref="A1:Z36"/>
  <sheetViews>
    <sheetView topLeftCell="A20" workbookViewId="0">
      <selection activeCell="E35" sqref="E35"/>
    </sheetView>
  </sheetViews>
  <sheetFormatPr defaultRowHeight="14.4" x14ac:dyDescent="0.3"/>
  <cols>
    <col min="1" max="1" width="65.6640625" customWidth="1"/>
    <col min="3" max="3" width="17.77734375" bestFit="1" customWidth="1"/>
    <col min="4" max="5" width="19.88671875" bestFit="1" customWidth="1"/>
    <col min="6" max="6" width="12.6640625" bestFit="1" customWidth="1"/>
    <col min="7" max="7" width="12.44140625" bestFit="1" customWidth="1"/>
    <col min="8" max="8" width="10.33203125" bestFit="1" customWidth="1"/>
    <col min="9" max="9" width="13.109375" bestFit="1" customWidth="1"/>
  </cols>
  <sheetData>
    <row r="1" spans="1:26" ht="25.8" x14ac:dyDescent="0.5">
      <c r="A1" s="34" t="s">
        <v>453</v>
      </c>
      <c r="B1" s="168" t="s">
        <v>489</v>
      </c>
      <c r="C1" s="168"/>
      <c r="D1" s="168"/>
    </row>
    <row r="4" spans="1:26" x14ac:dyDescent="0.3">
      <c r="A4" s="32" t="s">
        <v>454</v>
      </c>
      <c r="C4" s="47" t="s">
        <v>12</v>
      </c>
      <c r="D4" t="s">
        <v>455</v>
      </c>
      <c r="E4" t="s">
        <v>456</v>
      </c>
      <c r="F4" t="s">
        <v>410</v>
      </c>
      <c r="G4" t="s">
        <v>447</v>
      </c>
      <c r="H4" t="s">
        <v>457</v>
      </c>
      <c r="I4" t="s">
        <v>418</v>
      </c>
    </row>
    <row r="5" spans="1:26" x14ac:dyDescent="0.3">
      <c r="C5" s="24" t="s">
        <v>34</v>
      </c>
      <c r="D5" s="20">
        <v>2464864</v>
      </c>
      <c r="E5" s="20">
        <v>34716.394366197186</v>
      </c>
      <c r="F5" s="20">
        <v>187909</v>
      </c>
      <c r="G5" s="20">
        <v>2646.605633802817</v>
      </c>
      <c r="H5" s="20">
        <v>10689</v>
      </c>
      <c r="I5" s="20">
        <v>150.54929577464787</v>
      </c>
    </row>
    <row r="6" spans="1:26" x14ac:dyDescent="0.3">
      <c r="C6" s="24" t="s">
        <v>23</v>
      </c>
      <c r="D6" s="20">
        <v>1986356</v>
      </c>
      <c r="E6" s="20">
        <v>34247.517241379312</v>
      </c>
      <c r="F6" s="20">
        <v>159783</v>
      </c>
      <c r="G6" s="20">
        <v>2754.8793103448274</v>
      </c>
      <c r="H6" s="20">
        <v>9872</v>
      </c>
      <c r="I6" s="20">
        <v>170.20689655172413</v>
      </c>
    </row>
    <row r="7" spans="1:26" x14ac:dyDescent="0.3">
      <c r="C7" s="24" t="s">
        <v>28</v>
      </c>
      <c r="D7" s="20">
        <v>2266053</v>
      </c>
      <c r="E7" s="20">
        <v>33821.686567164179</v>
      </c>
      <c r="F7" s="20">
        <v>183346</v>
      </c>
      <c r="G7" s="20">
        <v>2736.5074626865671</v>
      </c>
      <c r="H7" s="20">
        <v>10032</v>
      </c>
      <c r="I7" s="20">
        <v>149.73134328358208</v>
      </c>
    </row>
    <row r="8" spans="1:26" x14ac:dyDescent="0.3">
      <c r="C8" s="24" t="s">
        <v>18</v>
      </c>
      <c r="D8" s="20">
        <v>1846272</v>
      </c>
      <c r="E8" s="20">
        <v>38464</v>
      </c>
      <c r="F8" s="20">
        <v>138793</v>
      </c>
      <c r="G8" s="20">
        <v>2891.5208333333335</v>
      </c>
      <c r="H8" s="20">
        <v>6434</v>
      </c>
      <c r="I8" s="20">
        <v>134.04166666666666</v>
      </c>
    </row>
    <row r="9" spans="1:26" x14ac:dyDescent="0.3">
      <c r="C9" s="24" t="s">
        <v>408</v>
      </c>
      <c r="D9" s="20">
        <v>8563545</v>
      </c>
      <c r="E9" s="20">
        <v>35096.495901639348</v>
      </c>
      <c r="F9" s="20">
        <v>669831</v>
      </c>
      <c r="G9" s="20">
        <v>2745.2090163934427</v>
      </c>
      <c r="H9" s="20">
        <v>37027</v>
      </c>
      <c r="I9" s="20">
        <v>151.75</v>
      </c>
    </row>
    <row r="13" spans="1:26" ht="15" thickBot="1" x14ac:dyDescent="0.35"/>
    <row r="14" spans="1:26" ht="15" thickBot="1" x14ac:dyDescent="0.35">
      <c r="A14" s="32" t="s">
        <v>458</v>
      </c>
      <c r="C14" s="125" t="s">
        <v>12</v>
      </c>
      <c r="D14" s="126" t="s">
        <v>459</v>
      </c>
      <c r="E14" s="102" t="s">
        <v>460</v>
      </c>
      <c r="F14" s="102" t="s">
        <v>461</v>
      </c>
      <c r="I14" s="98" t="s">
        <v>402</v>
      </c>
    </row>
    <row r="15" spans="1:26" x14ac:dyDescent="0.3">
      <c r="C15" s="54" t="s">
        <v>18</v>
      </c>
      <c r="D15" s="127">
        <v>0.18256403002695071</v>
      </c>
      <c r="E15" s="122">
        <v>7.7296913158705363E-2</v>
      </c>
      <c r="F15" s="101">
        <v>-57.660381868599998</v>
      </c>
      <c r="G15" s="32" t="s">
        <v>459</v>
      </c>
      <c r="I15" s="177" t="s">
        <v>462</v>
      </c>
      <c r="J15" s="177"/>
      <c r="K15" s="177"/>
      <c r="L15" s="177"/>
      <c r="M15" s="177"/>
      <c r="N15" s="177"/>
      <c r="O15" s="177"/>
      <c r="P15" s="177"/>
      <c r="Q15" s="177"/>
      <c r="R15" s="177"/>
      <c r="S15" s="177"/>
      <c r="T15" s="177"/>
      <c r="U15" s="177"/>
      <c r="V15" s="177"/>
      <c r="W15" s="177"/>
      <c r="X15" s="177"/>
      <c r="Y15" s="177"/>
      <c r="Z15" s="177"/>
    </row>
    <row r="16" spans="1:26" x14ac:dyDescent="0.3">
      <c r="C16" s="52" t="s">
        <v>23</v>
      </c>
      <c r="D16" s="128">
        <v>0.12623971500174036</v>
      </c>
      <c r="E16" s="123">
        <v>0.15063544700706727</v>
      </c>
      <c r="F16" s="99">
        <v>19.324926394986385</v>
      </c>
      <c r="G16" s="32" t="s">
        <v>460</v>
      </c>
      <c r="I16" s="177" t="s">
        <v>463</v>
      </c>
      <c r="J16" s="177"/>
      <c r="K16" s="177"/>
      <c r="L16" s="177"/>
      <c r="M16" s="177"/>
      <c r="N16" s="177"/>
      <c r="O16" s="177"/>
      <c r="P16" s="177"/>
      <c r="Q16" s="177"/>
      <c r="R16" s="177"/>
      <c r="S16" s="177"/>
      <c r="T16" s="177"/>
      <c r="U16" s="177"/>
      <c r="V16" s="177"/>
      <c r="W16" s="177"/>
      <c r="X16" s="177"/>
      <c r="Y16" s="177"/>
    </row>
    <row r="17" spans="1:16" x14ac:dyDescent="0.3">
      <c r="C17" s="52" t="s">
        <v>28</v>
      </c>
      <c r="D17" s="128">
        <v>0.1474176006033876</v>
      </c>
      <c r="E17" s="123">
        <v>0.2061036280141991</v>
      </c>
      <c r="F17" s="99">
        <v>39.809376336751285</v>
      </c>
    </row>
    <row r="18" spans="1:16" ht="15" thickBot="1" x14ac:dyDescent="0.35">
      <c r="C18" s="53" t="s">
        <v>34</v>
      </c>
      <c r="D18" s="129">
        <v>0.1375371426130354</v>
      </c>
      <c r="E18" s="124">
        <v>0.1121014056861131</v>
      </c>
      <c r="F18" s="100">
        <v>-18.493722091120112</v>
      </c>
      <c r="G18" s="175" t="s">
        <v>461</v>
      </c>
      <c r="H18" s="175"/>
      <c r="I18" s="176" t="s">
        <v>464</v>
      </c>
      <c r="J18" s="176"/>
      <c r="K18" s="176"/>
      <c r="L18" s="176"/>
      <c r="M18" s="176"/>
      <c r="N18" s="176"/>
      <c r="O18" s="176"/>
      <c r="P18" s="176"/>
    </row>
    <row r="23" spans="1:16" ht="29.4" thickBot="1" x14ac:dyDescent="0.35">
      <c r="A23" s="50" t="s">
        <v>465</v>
      </c>
    </row>
    <row r="24" spans="1:16" ht="15" thickBot="1" x14ac:dyDescent="0.35">
      <c r="C24" s="133" t="s">
        <v>12</v>
      </c>
      <c r="D24" s="126" t="s">
        <v>467</v>
      </c>
      <c r="F24" s="32" t="s">
        <v>402</v>
      </c>
    </row>
    <row r="25" spans="1:16" x14ac:dyDescent="0.3">
      <c r="C25" s="132" t="s">
        <v>18</v>
      </c>
      <c r="D25" s="134">
        <v>0.63570666666666664</v>
      </c>
      <c r="F25" s="162" t="s">
        <v>502</v>
      </c>
    </row>
    <row r="26" spans="1:16" x14ac:dyDescent="0.3">
      <c r="C26" s="130" t="s">
        <v>23</v>
      </c>
      <c r="D26" s="135">
        <v>0.56418000000000001</v>
      </c>
    </row>
    <row r="27" spans="1:16" x14ac:dyDescent="0.3">
      <c r="C27" s="130" t="s">
        <v>28</v>
      </c>
      <c r="D27" s="135">
        <v>0.54698400000000003</v>
      </c>
    </row>
    <row r="28" spans="1:16" ht="15" thickBot="1" x14ac:dyDescent="0.35">
      <c r="C28" s="131" t="s">
        <v>34</v>
      </c>
      <c r="D28" s="136">
        <v>0.72002222222222223</v>
      </c>
    </row>
    <row r="31" spans="1:16" ht="15" thickBot="1" x14ac:dyDescent="0.35"/>
    <row r="32" spans="1:16" ht="15" thickBot="1" x14ac:dyDescent="0.35">
      <c r="A32" s="32" t="s">
        <v>493</v>
      </c>
      <c r="C32" s="149" t="s">
        <v>12</v>
      </c>
      <c r="D32" s="156" t="s">
        <v>496</v>
      </c>
      <c r="E32" s="146" t="s">
        <v>495</v>
      </c>
    </row>
    <row r="33" spans="3:5" x14ac:dyDescent="0.3">
      <c r="C33" s="150" t="s">
        <v>18</v>
      </c>
      <c r="D33" s="54">
        <v>13523</v>
      </c>
      <c r="E33" s="152">
        <v>3053.5806451612902</v>
      </c>
    </row>
    <row r="34" spans="3:5" x14ac:dyDescent="0.3">
      <c r="C34" s="151" t="s">
        <v>23</v>
      </c>
      <c r="D34" s="52">
        <v>11092</v>
      </c>
      <c r="E34" s="153">
        <v>2504.6451612903224</v>
      </c>
    </row>
    <row r="35" spans="3:5" x14ac:dyDescent="0.3">
      <c r="C35" s="157" t="s">
        <v>28</v>
      </c>
      <c r="D35" s="52">
        <v>10087</v>
      </c>
      <c r="E35" s="153">
        <v>4153.4705882352946</v>
      </c>
    </row>
    <row r="36" spans="3:5" ht="15" thickBot="1" x14ac:dyDescent="0.35">
      <c r="C36" s="155" t="s">
        <v>34</v>
      </c>
      <c r="D36" s="53">
        <v>16078</v>
      </c>
      <c r="E36" s="154">
        <v>3630.516129032258</v>
      </c>
    </row>
  </sheetData>
  <mergeCells count="5">
    <mergeCell ref="G18:H18"/>
    <mergeCell ref="I18:P18"/>
    <mergeCell ref="I15:Z15"/>
    <mergeCell ref="I16:Y16"/>
    <mergeCell ref="B1:D1"/>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8759A-5CB1-42B8-961E-AF4816EB00D5}">
  <dimension ref="A1:K143"/>
  <sheetViews>
    <sheetView topLeftCell="A127" zoomScaleNormal="100" workbookViewId="0">
      <selection activeCell="D146" sqref="D146"/>
    </sheetView>
  </sheetViews>
  <sheetFormatPr defaultRowHeight="14.4" x14ac:dyDescent="0.3"/>
  <cols>
    <col min="1" max="1" width="79.88671875" customWidth="1"/>
    <col min="3" max="3" width="17.33203125" bestFit="1" customWidth="1"/>
    <col min="4" max="4" width="15.5546875" bestFit="1" customWidth="1"/>
    <col min="5" max="5" width="9.44140625" bestFit="1" customWidth="1"/>
    <col min="6" max="6" width="6.88671875" bestFit="1" customWidth="1"/>
    <col min="7" max="7" width="8.44140625" bestFit="1" customWidth="1"/>
    <col min="8" max="8" width="12.5546875" bestFit="1" customWidth="1"/>
  </cols>
  <sheetData>
    <row r="1" spans="1:8" ht="25.8" x14ac:dyDescent="0.5">
      <c r="A1" s="34" t="s">
        <v>468</v>
      </c>
      <c r="B1" s="168" t="s">
        <v>490</v>
      </c>
      <c r="C1" s="168"/>
      <c r="D1" s="168"/>
      <c r="E1" s="168"/>
      <c r="F1" s="168"/>
      <c r="G1" s="168"/>
      <c r="H1" s="168"/>
    </row>
    <row r="4" spans="1:8" x14ac:dyDescent="0.3">
      <c r="A4" s="32" t="s">
        <v>469</v>
      </c>
      <c r="C4" s="47" t="s">
        <v>470</v>
      </c>
      <c r="D4" s="47" t="s">
        <v>1</v>
      </c>
    </row>
    <row r="5" spans="1:8" x14ac:dyDescent="0.3">
      <c r="C5" s="47" t="s">
        <v>474</v>
      </c>
      <c r="D5" t="s">
        <v>38</v>
      </c>
      <c r="E5" t="s">
        <v>30</v>
      </c>
      <c r="F5" t="s">
        <v>14</v>
      </c>
      <c r="G5" t="s">
        <v>25</v>
      </c>
    </row>
    <row r="6" spans="1:8" x14ac:dyDescent="0.3">
      <c r="C6" s="137">
        <v>45446</v>
      </c>
      <c r="D6" s="20">
        <v>1002</v>
      </c>
      <c r="E6" s="20">
        <v>1047</v>
      </c>
      <c r="F6" s="20">
        <v>415</v>
      </c>
      <c r="G6" s="20">
        <v>1090</v>
      </c>
    </row>
    <row r="7" spans="1:8" x14ac:dyDescent="0.3">
      <c r="C7" s="137">
        <v>45453</v>
      </c>
      <c r="D7" s="20">
        <v>1283</v>
      </c>
      <c r="E7" s="20">
        <v>517</v>
      </c>
      <c r="F7" s="20">
        <v>186</v>
      </c>
      <c r="G7" s="20">
        <v>994</v>
      </c>
    </row>
    <row r="8" spans="1:8" x14ac:dyDescent="0.3">
      <c r="C8" s="137">
        <v>45460</v>
      </c>
      <c r="D8" s="20">
        <v>1382</v>
      </c>
      <c r="E8" s="20">
        <v>893</v>
      </c>
      <c r="F8" s="20">
        <v>1295</v>
      </c>
      <c r="G8" s="20">
        <v>337</v>
      </c>
    </row>
    <row r="9" spans="1:8" x14ac:dyDescent="0.3">
      <c r="C9" s="137">
        <v>45467</v>
      </c>
      <c r="D9" s="20">
        <v>1670</v>
      </c>
      <c r="E9" s="20">
        <v>629</v>
      </c>
      <c r="F9" s="20">
        <v>835</v>
      </c>
      <c r="G9" s="20">
        <v>-123</v>
      </c>
    </row>
    <row r="10" spans="1:8" x14ac:dyDescent="0.3">
      <c r="C10" s="137">
        <v>45474</v>
      </c>
      <c r="D10" s="20">
        <v>64</v>
      </c>
      <c r="E10" s="20">
        <v>-219</v>
      </c>
      <c r="F10" s="20">
        <v>1357</v>
      </c>
      <c r="G10" s="20">
        <v>91</v>
      </c>
    </row>
    <row r="11" spans="1:8" x14ac:dyDescent="0.3">
      <c r="C11" s="137">
        <v>45481</v>
      </c>
      <c r="D11" s="20">
        <v>309</v>
      </c>
      <c r="E11" s="20">
        <v>1672</v>
      </c>
      <c r="F11" s="20">
        <v>547</v>
      </c>
      <c r="G11" s="20">
        <v>514</v>
      </c>
    </row>
    <row r="12" spans="1:8" x14ac:dyDescent="0.3">
      <c r="C12" s="137">
        <v>45488</v>
      </c>
      <c r="D12" s="20">
        <v>-164</v>
      </c>
      <c r="E12" s="20">
        <v>1845</v>
      </c>
      <c r="F12" s="20">
        <v>429</v>
      </c>
      <c r="G12" s="20">
        <v>160</v>
      </c>
    </row>
    <row r="13" spans="1:8" x14ac:dyDescent="0.3">
      <c r="C13" s="137">
        <v>45495</v>
      </c>
      <c r="D13" s="20">
        <v>961</v>
      </c>
      <c r="E13" s="20">
        <v>159</v>
      </c>
      <c r="F13" s="20">
        <v>1316</v>
      </c>
      <c r="G13" s="20">
        <v>317</v>
      </c>
    </row>
    <row r="14" spans="1:8" x14ac:dyDescent="0.3">
      <c r="C14" s="137">
        <v>45502</v>
      </c>
      <c r="D14" s="20">
        <v>-318</v>
      </c>
      <c r="E14" s="20">
        <v>541</v>
      </c>
      <c r="F14" s="20">
        <v>1495</v>
      </c>
      <c r="G14" s="20">
        <v>475</v>
      </c>
    </row>
    <row r="15" spans="1:8" x14ac:dyDescent="0.3">
      <c r="C15" s="137">
        <v>45509</v>
      </c>
      <c r="D15" s="20">
        <v>-197</v>
      </c>
      <c r="E15" s="20">
        <v>352</v>
      </c>
      <c r="F15" s="20">
        <v>328</v>
      </c>
      <c r="G15" s="20">
        <v>319</v>
      </c>
    </row>
    <row r="16" spans="1:8" x14ac:dyDescent="0.3">
      <c r="C16" s="137">
        <v>45516</v>
      </c>
      <c r="D16" s="20">
        <v>1334</v>
      </c>
      <c r="E16" s="20">
        <v>1325</v>
      </c>
      <c r="F16" s="20">
        <v>37</v>
      </c>
      <c r="G16" s="20">
        <v>1032</v>
      </c>
    </row>
    <row r="17" spans="3:7" x14ac:dyDescent="0.3">
      <c r="C17" s="137">
        <v>45523</v>
      </c>
      <c r="D17" s="20">
        <v>1058</v>
      </c>
      <c r="E17" s="20">
        <v>76</v>
      </c>
      <c r="F17" s="20">
        <v>1665</v>
      </c>
      <c r="G17" s="20">
        <v>190</v>
      </c>
    </row>
    <row r="18" spans="3:7" x14ac:dyDescent="0.3">
      <c r="C18" s="137">
        <v>45530</v>
      </c>
      <c r="D18" s="20">
        <v>37</v>
      </c>
      <c r="E18" s="20">
        <v>1609</v>
      </c>
      <c r="F18" s="20">
        <v>1229</v>
      </c>
      <c r="G18" s="20">
        <v>28</v>
      </c>
    </row>
    <row r="19" spans="3:7" x14ac:dyDescent="0.3">
      <c r="C19" s="137">
        <v>45537</v>
      </c>
      <c r="D19" s="20">
        <v>1045</v>
      </c>
      <c r="E19" s="20">
        <v>1247</v>
      </c>
      <c r="F19" s="20">
        <v>197</v>
      </c>
      <c r="G19" s="20">
        <v>333</v>
      </c>
    </row>
    <row r="20" spans="3:7" x14ac:dyDescent="0.3">
      <c r="C20" s="137">
        <v>45544</v>
      </c>
      <c r="D20" s="20">
        <v>1428</v>
      </c>
      <c r="E20" s="20">
        <v>1572</v>
      </c>
      <c r="F20" s="20">
        <v>260</v>
      </c>
      <c r="G20" s="20">
        <v>1100</v>
      </c>
    </row>
    <row r="21" spans="3:7" x14ac:dyDescent="0.3">
      <c r="C21" s="137">
        <v>45551</v>
      </c>
      <c r="D21" s="20">
        <v>98</v>
      </c>
      <c r="E21" s="20">
        <v>377</v>
      </c>
      <c r="F21" s="20">
        <v>1125</v>
      </c>
      <c r="G21" s="20">
        <v>-32</v>
      </c>
    </row>
    <row r="22" spans="3:7" x14ac:dyDescent="0.3">
      <c r="C22" s="137">
        <v>45558</v>
      </c>
      <c r="D22" s="20">
        <v>-19</v>
      </c>
      <c r="E22" s="20">
        <v>666</v>
      </c>
      <c r="F22" s="20">
        <v>1680</v>
      </c>
      <c r="G22" s="20">
        <v>1006</v>
      </c>
    </row>
    <row r="23" spans="3:7" x14ac:dyDescent="0.3">
      <c r="C23" s="137">
        <v>45565</v>
      </c>
      <c r="D23" s="20">
        <v>-179</v>
      </c>
      <c r="E23" s="20">
        <v>1025</v>
      </c>
      <c r="F23" s="20">
        <v>599</v>
      </c>
      <c r="G23" s="20">
        <v>1706</v>
      </c>
    </row>
    <row r="24" spans="3:7" x14ac:dyDescent="0.3">
      <c r="C24" s="137">
        <v>45572</v>
      </c>
      <c r="D24" s="20">
        <v>1662</v>
      </c>
      <c r="E24" s="20">
        <v>1872</v>
      </c>
      <c r="F24" s="20">
        <v>107</v>
      </c>
      <c r="G24" s="20">
        <v>118</v>
      </c>
    </row>
    <row r="25" spans="3:7" x14ac:dyDescent="0.3">
      <c r="C25" s="137">
        <v>45579</v>
      </c>
      <c r="D25" s="20">
        <v>285</v>
      </c>
      <c r="E25" s="20">
        <v>1224</v>
      </c>
      <c r="F25" s="20">
        <v>-20</v>
      </c>
      <c r="G25" s="20">
        <v>367</v>
      </c>
    </row>
    <row r="26" spans="3:7" x14ac:dyDescent="0.3">
      <c r="C26" s="137">
        <v>45586</v>
      </c>
      <c r="D26" s="20">
        <v>439</v>
      </c>
      <c r="E26" s="20">
        <v>262</v>
      </c>
      <c r="F26" s="20">
        <v>636</v>
      </c>
      <c r="G26" s="20">
        <v>1484</v>
      </c>
    </row>
    <row r="27" spans="3:7" x14ac:dyDescent="0.3">
      <c r="C27" s="137">
        <v>45593</v>
      </c>
      <c r="D27" s="20">
        <v>386</v>
      </c>
      <c r="E27" s="20">
        <v>576</v>
      </c>
      <c r="F27" s="20">
        <v>37</v>
      </c>
      <c r="G27" s="20">
        <v>1657</v>
      </c>
    </row>
    <row r="28" spans="3:7" x14ac:dyDescent="0.3">
      <c r="C28" s="137">
        <v>45600</v>
      </c>
      <c r="D28" s="20">
        <v>540</v>
      </c>
      <c r="E28" s="20">
        <v>1397</v>
      </c>
      <c r="F28" s="20">
        <v>1603</v>
      </c>
      <c r="G28" s="20">
        <v>1044</v>
      </c>
    </row>
    <row r="29" spans="3:7" x14ac:dyDescent="0.3">
      <c r="C29" s="137">
        <v>45607</v>
      </c>
      <c r="D29" s="20">
        <v>-106</v>
      </c>
      <c r="E29" s="20">
        <v>902</v>
      </c>
      <c r="F29" s="20">
        <v>1150</v>
      </c>
      <c r="G29" s="20">
        <v>349</v>
      </c>
    </row>
    <row r="30" spans="3:7" x14ac:dyDescent="0.3">
      <c r="C30" s="137">
        <v>45614</v>
      </c>
      <c r="D30" s="20">
        <v>72</v>
      </c>
      <c r="E30" s="20">
        <v>-49</v>
      </c>
      <c r="F30" s="20">
        <v>445</v>
      </c>
      <c r="G30" s="20">
        <v>60</v>
      </c>
    </row>
    <row r="31" spans="3:7" x14ac:dyDescent="0.3">
      <c r="C31" s="137">
        <v>45621</v>
      </c>
      <c r="D31" s="20">
        <v>1332</v>
      </c>
      <c r="E31" s="20">
        <v>1693</v>
      </c>
      <c r="F31" s="20">
        <v>98</v>
      </c>
      <c r="G31" s="20">
        <v>885</v>
      </c>
    </row>
    <row r="32" spans="3:7" x14ac:dyDescent="0.3">
      <c r="C32" s="137">
        <v>45628</v>
      </c>
      <c r="D32" s="20">
        <v>1706</v>
      </c>
      <c r="E32" s="20">
        <v>1625</v>
      </c>
      <c r="F32" s="20">
        <v>1173</v>
      </c>
      <c r="G32" s="20">
        <v>291</v>
      </c>
    </row>
    <row r="33" spans="3:7" x14ac:dyDescent="0.3">
      <c r="C33" s="137">
        <v>45635</v>
      </c>
      <c r="D33" s="20">
        <v>1373</v>
      </c>
      <c r="E33" s="20">
        <v>1119</v>
      </c>
      <c r="F33" s="20">
        <v>1727</v>
      </c>
      <c r="G33" s="20">
        <v>573</v>
      </c>
    </row>
    <row r="34" spans="3:7" x14ac:dyDescent="0.3">
      <c r="C34" s="137">
        <v>45642</v>
      </c>
      <c r="D34" s="20">
        <v>1377</v>
      </c>
      <c r="E34" s="20">
        <v>1432</v>
      </c>
      <c r="F34" s="20">
        <v>1359</v>
      </c>
      <c r="G34" s="20">
        <v>876</v>
      </c>
    </row>
    <row r="35" spans="3:7" x14ac:dyDescent="0.3">
      <c r="C35" s="137">
        <v>45649</v>
      </c>
      <c r="D35" s="20">
        <v>730</v>
      </c>
      <c r="E35" s="20">
        <v>684</v>
      </c>
      <c r="F35" s="20">
        <v>911</v>
      </c>
      <c r="G35" s="20">
        <v>1589</v>
      </c>
    </row>
    <row r="36" spans="3:7" x14ac:dyDescent="0.3">
      <c r="C36" s="137">
        <v>45656</v>
      </c>
      <c r="D36" s="20">
        <v>1776</v>
      </c>
      <c r="E36" s="20">
        <v>1765</v>
      </c>
      <c r="F36" s="20">
        <v>1529</v>
      </c>
      <c r="G36" s="20">
        <v>1460</v>
      </c>
    </row>
    <row r="37" spans="3:7" x14ac:dyDescent="0.3">
      <c r="C37" s="137">
        <v>45663</v>
      </c>
      <c r="D37" s="20">
        <v>620</v>
      </c>
      <c r="E37" s="20">
        <v>903</v>
      </c>
      <c r="F37" s="20">
        <v>1188</v>
      </c>
      <c r="G37" s="20">
        <v>846</v>
      </c>
    </row>
    <row r="38" spans="3:7" x14ac:dyDescent="0.3">
      <c r="C38" s="137">
        <v>45670</v>
      </c>
      <c r="D38" s="20">
        <v>298</v>
      </c>
      <c r="E38" s="20">
        <v>1722</v>
      </c>
      <c r="F38" s="20">
        <v>-144</v>
      </c>
      <c r="G38" s="20">
        <v>901</v>
      </c>
    </row>
    <row r="39" spans="3:7" x14ac:dyDescent="0.3">
      <c r="C39" s="137">
        <v>45677</v>
      </c>
      <c r="D39" s="20">
        <v>427</v>
      </c>
      <c r="E39" s="20">
        <v>1572</v>
      </c>
      <c r="F39" s="20">
        <v>891</v>
      </c>
      <c r="G39" s="20">
        <v>724</v>
      </c>
    </row>
    <row r="40" spans="3:7" x14ac:dyDescent="0.3">
      <c r="C40" s="137">
        <v>45684</v>
      </c>
      <c r="D40" s="20">
        <v>898</v>
      </c>
      <c r="E40" s="20">
        <v>-166</v>
      </c>
      <c r="F40" s="20">
        <v>1426</v>
      </c>
      <c r="G40" s="20">
        <v>1225</v>
      </c>
    </row>
    <row r="41" spans="3:7" x14ac:dyDescent="0.3">
      <c r="C41" s="137">
        <v>45691</v>
      </c>
      <c r="D41" s="20">
        <v>748</v>
      </c>
      <c r="E41" s="20">
        <v>1080</v>
      </c>
      <c r="F41" s="20">
        <v>569</v>
      </c>
      <c r="G41" s="20">
        <v>-203</v>
      </c>
    </row>
    <row r="42" spans="3:7" x14ac:dyDescent="0.3">
      <c r="C42" s="137">
        <v>45698</v>
      </c>
      <c r="D42" s="20">
        <v>912</v>
      </c>
      <c r="E42" s="20">
        <v>1723</v>
      </c>
      <c r="F42" s="20">
        <v>1202</v>
      </c>
      <c r="G42" s="20">
        <v>1444</v>
      </c>
    </row>
    <row r="43" spans="3:7" x14ac:dyDescent="0.3">
      <c r="C43" s="137">
        <v>45705</v>
      </c>
      <c r="D43" s="20">
        <v>1590</v>
      </c>
      <c r="E43" s="20">
        <v>965</v>
      </c>
      <c r="F43" s="20">
        <v>-37</v>
      </c>
      <c r="G43" s="20">
        <v>1175</v>
      </c>
    </row>
    <row r="44" spans="3:7" x14ac:dyDescent="0.3">
      <c r="C44" s="137">
        <v>45712</v>
      </c>
      <c r="D44" s="20">
        <v>1707</v>
      </c>
      <c r="E44" s="20">
        <v>1375</v>
      </c>
      <c r="F44" s="20">
        <v>708</v>
      </c>
      <c r="G44" s="20">
        <v>1016</v>
      </c>
    </row>
    <row r="45" spans="3:7" x14ac:dyDescent="0.3">
      <c r="C45" s="137">
        <v>45719</v>
      </c>
      <c r="D45" s="20">
        <v>-119</v>
      </c>
      <c r="E45" s="20">
        <v>1315</v>
      </c>
      <c r="F45" s="20">
        <v>899</v>
      </c>
      <c r="G45" s="20">
        <v>315</v>
      </c>
    </row>
    <row r="46" spans="3:7" x14ac:dyDescent="0.3">
      <c r="C46" s="137">
        <v>45726</v>
      </c>
      <c r="D46" s="20">
        <v>908</v>
      </c>
      <c r="E46" s="20">
        <v>212</v>
      </c>
      <c r="F46" s="20">
        <v>1350</v>
      </c>
      <c r="G46" s="20">
        <v>1242</v>
      </c>
    </row>
    <row r="47" spans="3:7" x14ac:dyDescent="0.3">
      <c r="C47" s="137">
        <v>45733</v>
      </c>
      <c r="D47" s="20">
        <v>1116</v>
      </c>
      <c r="E47" s="20">
        <v>680</v>
      </c>
      <c r="F47" s="20">
        <v>861</v>
      </c>
      <c r="G47" s="20">
        <v>1385</v>
      </c>
    </row>
    <row r="48" spans="3:7" x14ac:dyDescent="0.3">
      <c r="C48" s="137">
        <v>45740</v>
      </c>
      <c r="D48" s="20">
        <v>474</v>
      </c>
      <c r="E48" s="20">
        <v>461</v>
      </c>
      <c r="F48" s="20">
        <v>292</v>
      </c>
      <c r="G48" s="20">
        <v>389</v>
      </c>
    </row>
    <row r="49" spans="1:7" x14ac:dyDescent="0.3">
      <c r="C49" s="137">
        <v>45747</v>
      </c>
      <c r="D49" s="20">
        <v>514</v>
      </c>
      <c r="E49" s="20">
        <v>641</v>
      </c>
      <c r="F49" s="20">
        <v>1676</v>
      </c>
      <c r="G49" s="20">
        <v>1467</v>
      </c>
    </row>
    <row r="50" spans="1:7" x14ac:dyDescent="0.3">
      <c r="C50" s="137">
        <v>45754</v>
      </c>
      <c r="D50" s="20">
        <v>1029</v>
      </c>
      <c r="E50" s="20">
        <v>167</v>
      </c>
      <c r="F50" s="20">
        <v>1007</v>
      </c>
      <c r="G50" s="20">
        <v>209</v>
      </c>
    </row>
    <row r="51" spans="1:7" x14ac:dyDescent="0.3">
      <c r="C51" s="137">
        <v>45761</v>
      </c>
      <c r="D51" s="20">
        <v>-175</v>
      </c>
      <c r="E51" s="20">
        <v>-160</v>
      </c>
      <c r="F51" s="20">
        <v>53</v>
      </c>
      <c r="G51" s="20">
        <v>145</v>
      </c>
    </row>
    <row r="52" spans="1:7" x14ac:dyDescent="0.3">
      <c r="C52" s="137">
        <v>45768</v>
      </c>
      <c r="D52" s="20">
        <v>1045</v>
      </c>
      <c r="E52" s="20">
        <v>603</v>
      </c>
      <c r="F52" s="20">
        <v>759</v>
      </c>
      <c r="G52" s="20">
        <v>1633</v>
      </c>
    </row>
    <row r="53" spans="1:7" x14ac:dyDescent="0.3">
      <c r="C53" s="137">
        <v>45775</v>
      </c>
      <c r="D53" s="20">
        <v>453</v>
      </c>
      <c r="E53" s="20">
        <v>1539</v>
      </c>
      <c r="F53" s="20">
        <v>948</v>
      </c>
      <c r="G53" s="20">
        <v>637</v>
      </c>
    </row>
    <row r="54" spans="1:7" x14ac:dyDescent="0.3">
      <c r="C54" s="137">
        <v>45782</v>
      </c>
      <c r="D54" s="20">
        <v>339</v>
      </c>
      <c r="E54" s="20">
        <v>1881</v>
      </c>
      <c r="F54" s="20">
        <v>1510</v>
      </c>
      <c r="G54" s="20">
        <v>864</v>
      </c>
    </row>
    <row r="55" spans="1:7" x14ac:dyDescent="0.3">
      <c r="C55" s="137">
        <v>45789</v>
      </c>
      <c r="D55" s="20">
        <v>407</v>
      </c>
      <c r="E55" s="20">
        <v>1656</v>
      </c>
      <c r="F55" s="20">
        <v>269</v>
      </c>
      <c r="G55" s="20">
        <v>-337</v>
      </c>
    </row>
    <row r="59" spans="1:7" ht="15" thickBot="1" x14ac:dyDescent="0.35"/>
    <row r="60" spans="1:7" ht="15" thickBot="1" x14ac:dyDescent="0.35">
      <c r="A60" s="32" t="s">
        <v>471</v>
      </c>
      <c r="C60" s="140" t="s">
        <v>472</v>
      </c>
      <c r="D60" s="141" t="s">
        <v>473</v>
      </c>
    </row>
    <row r="61" spans="1:7" ht="15" thickBot="1" x14ac:dyDescent="0.35">
      <c r="C61" s="139">
        <f>MAX('Engagement Summary'!H2:H201)</f>
        <v>1881</v>
      </c>
      <c r="D61" s="138">
        <f>INDEX('Engagement Summary'!A2:A201,MATCH(MAX('Engagement Summary'!H2:H201),'Engagement Summary'!H2:H201,0))</f>
        <v>45782</v>
      </c>
    </row>
    <row r="63" spans="1:7" x14ac:dyDescent="0.3">
      <c r="C63" s="32" t="s">
        <v>402</v>
      </c>
    </row>
    <row r="65" spans="1:11" x14ac:dyDescent="0.3">
      <c r="C65" t="s">
        <v>472</v>
      </c>
      <c r="D65" s="142" t="s">
        <v>475</v>
      </c>
    </row>
    <row r="66" spans="1:11" x14ac:dyDescent="0.3">
      <c r="C66" t="s">
        <v>473</v>
      </c>
      <c r="D66" s="142" t="s">
        <v>476</v>
      </c>
    </row>
    <row r="68" spans="1:11" x14ac:dyDescent="0.3">
      <c r="A68" s="32" t="s">
        <v>477</v>
      </c>
      <c r="C68" s="47" t="s">
        <v>479</v>
      </c>
      <c r="D68" s="47" t="s">
        <v>1</v>
      </c>
    </row>
    <row r="69" spans="1:11" x14ac:dyDescent="0.3">
      <c r="C69" s="47" t="s">
        <v>478</v>
      </c>
      <c r="D69" t="s">
        <v>38</v>
      </c>
      <c r="E69" t="s">
        <v>30</v>
      </c>
      <c r="F69" t="s">
        <v>14</v>
      </c>
      <c r="G69" t="s">
        <v>25</v>
      </c>
      <c r="H69" s="32" t="s">
        <v>480</v>
      </c>
      <c r="I69" s="32" t="s">
        <v>481</v>
      </c>
      <c r="J69" s="32" t="s">
        <v>482</v>
      </c>
      <c r="K69" s="32" t="s">
        <v>483</v>
      </c>
    </row>
    <row r="70" spans="1:11" x14ac:dyDescent="0.3">
      <c r="C70" s="137">
        <v>45446</v>
      </c>
      <c r="D70" s="20">
        <v>1002</v>
      </c>
      <c r="E70" s="20">
        <v>1047</v>
      </c>
      <c r="F70" s="20">
        <v>415</v>
      </c>
      <c r="G70" s="20">
        <v>1090</v>
      </c>
    </row>
    <row r="71" spans="1:11" x14ac:dyDescent="0.3">
      <c r="C71" s="137">
        <v>45453</v>
      </c>
      <c r="D71" s="20">
        <v>1283</v>
      </c>
      <c r="E71" s="20">
        <v>517</v>
      </c>
      <c r="F71" s="20">
        <v>186</v>
      </c>
      <c r="G71" s="20">
        <v>994</v>
      </c>
    </row>
    <row r="72" spans="1:11" x14ac:dyDescent="0.3">
      <c r="C72" s="137">
        <v>45460</v>
      </c>
      <c r="D72" s="20">
        <v>1382</v>
      </c>
      <c r="E72" s="20">
        <v>893</v>
      </c>
      <c r="F72" s="20">
        <v>1295</v>
      </c>
      <c r="G72" s="20">
        <v>337</v>
      </c>
    </row>
    <row r="73" spans="1:11" x14ac:dyDescent="0.3">
      <c r="C73" s="137">
        <v>45467</v>
      </c>
      <c r="D73" s="20">
        <v>1670</v>
      </c>
      <c r="E73" s="20">
        <v>629</v>
      </c>
      <c r="F73" s="20">
        <v>835</v>
      </c>
      <c r="G73" s="20">
        <v>-123</v>
      </c>
      <c r="H73" s="20">
        <f>AVERAGE(D70:D73)</f>
        <v>1334.25</v>
      </c>
      <c r="I73" s="20">
        <f>AVERAGE(E70:E73)</f>
        <v>771.5</v>
      </c>
      <c r="J73" s="20">
        <f>AVERAGE(F70:F73)</f>
        <v>682.75</v>
      </c>
      <c r="K73" s="20">
        <f>AVERAGE(G70:G73)</f>
        <v>574.5</v>
      </c>
    </row>
    <row r="74" spans="1:11" x14ac:dyDescent="0.3">
      <c r="C74" s="137">
        <v>45474</v>
      </c>
      <c r="D74" s="20">
        <v>64</v>
      </c>
      <c r="E74" s="20">
        <v>-219</v>
      </c>
      <c r="F74" s="20">
        <v>1357</v>
      </c>
      <c r="G74" s="20">
        <v>91</v>
      </c>
      <c r="H74" s="20">
        <f t="shared" ref="H74:H119" si="0">AVERAGE(D71:D74)</f>
        <v>1099.75</v>
      </c>
      <c r="I74" s="20">
        <f t="shared" ref="I74:I119" si="1">AVERAGE(E71:E74)</f>
        <v>455</v>
      </c>
      <c r="J74" s="20">
        <f t="shared" ref="J74:J119" si="2">AVERAGE(F71:F74)</f>
        <v>918.25</v>
      </c>
      <c r="K74" s="20">
        <f t="shared" ref="K74:K119" si="3">AVERAGE(G71:G74)</f>
        <v>324.75</v>
      </c>
    </row>
    <row r="75" spans="1:11" x14ac:dyDescent="0.3">
      <c r="C75" s="137">
        <v>45481</v>
      </c>
      <c r="D75" s="20">
        <v>309</v>
      </c>
      <c r="E75" s="20">
        <v>1672</v>
      </c>
      <c r="F75" s="20">
        <v>547</v>
      </c>
      <c r="G75" s="20">
        <v>514</v>
      </c>
      <c r="H75" s="20">
        <f t="shared" si="0"/>
        <v>856.25</v>
      </c>
      <c r="I75" s="20">
        <f t="shared" si="1"/>
        <v>743.75</v>
      </c>
      <c r="J75" s="20">
        <f t="shared" si="2"/>
        <v>1008.5</v>
      </c>
      <c r="K75" s="20">
        <f t="shared" si="3"/>
        <v>204.75</v>
      </c>
    </row>
    <row r="76" spans="1:11" x14ac:dyDescent="0.3">
      <c r="C76" s="137">
        <v>45488</v>
      </c>
      <c r="D76" s="20">
        <v>-164</v>
      </c>
      <c r="E76" s="20">
        <v>1845</v>
      </c>
      <c r="F76" s="20">
        <v>429</v>
      </c>
      <c r="G76" s="20">
        <v>160</v>
      </c>
      <c r="H76" s="20">
        <f t="shared" si="0"/>
        <v>469.75</v>
      </c>
      <c r="I76" s="20">
        <f t="shared" si="1"/>
        <v>981.75</v>
      </c>
      <c r="J76" s="20">
        <f t="shared" si="2"/>
        <v>792</v>
      </c>
      <c r="K76" s="20">
        <f t="shared" si="3"/>
        <v>160.5</v>
      </c>
    </row>
    <row r="77" spans="1:11" x14ac:dyDescent="0.3">
      <c r="C77" s="137">
        <v>45495</v>
      </c>
      <c r="D77" s="20">
        <v>961</v>
      </c>
      <c r="E77" s="20">
        <v>159</v>
      </c>
      <c r="F77" s="20">
        <v>1316</v>
      </c>
      <c r="G77" s="20">
        <v>317</v>
      </c>
      <c r="H77" s="20">
        <f t="shared" si="0"/>
        <v>292.5</v>
      </c>
      <c r="I77" s="20">
        <f t="shared" si="1"/>
        <v>864.25</v>
      </c>
      <c r="J77" s="20">
        <f t="shared" si="2"/>
        <v>912.25</v>
      </c>
      <c r="K77" s="20">
        <f t="shared" si="3"/>
        <v>270.5</v>
      </c>
    </row>
    <row r="78" spans="1:11" x14ac:dyDescent="0.3">
      <c r="C78" s="137">
        <v>45502</v>
      </c>
      <c r="D78" s="20">
        <v>-318</v>
      </c>
      <c r="E78" s="20">
        <v>541</v>
      </c>
      <c r="F78" s="20">
        <v>1495</v>
      </c>
      <c r="G78" s="20">
        <v>475</v>
      </c>
      <c r="H78" s="20">
        <f t="shared" si="0"/>
        <v>197</v>
      </c>
      <c r="I78" s="20">
        <f t="shared" si="1"/>
        <v>1054.25</v>
      </c>
      <c r="J78" s="20">
        <f t="shared" si="2"/>
        <v>946.75</v>
      </c>
      <c r="K78" s="20">
        <f t="shared" si="3"/>
        <v>366.5</v>
      </c>
    </row>
    <row r="79" spans="1:11" x14ac:dyDescent="0.3">
      <c r="C79" s="137">
        <v>45509</v>
      </c>
      <c r="D79" s="20">
        <v>-197</v>
      </c>
      <c r="E79" s="20">
        <v>352</v>
      </c>
      <c r="F79" s="20">
        <v>328</v>
      </c>
      <c r="G79" s="20">
        <v>319</v>
      </c>
      <c r="H79" s="20">
        <f t="shared" si="0"/>
        <v>70.5</v>
      </c>
      <c r="I79" s="20">
        <f t="shared" si="1"/>
        <v>724.25</v>
      </c>
      <c r="J79" s="20">
        <f t="shared" si="2"/>
        <v>892</v>
      </c>
      <c r="K79" s="20">
        <f t="shared" si="3"/>
        <v>317.75</v>
      </c>
    </row>
    <row r="80" spans="1:11" x14ac:dyDescent="0.3">
      <c r="C80" s="137">
        <v>45516</v>
      </c>
      <c r="D80" s="20">
        <v>1334</v>
      </c>
      <c r="E80" s="20">
        <v>1325</v>
      </c>
      <c r="F80" s="20">
        <v>37</v>
      </c>
      <c r="G80" s="20">
        <v>1032</v>
      </c>
      <c r="H80" s="20">
        <f t="shared" si="0"/>
        <v>445</v>
      </c>
      <c r="I80" s="20">
        <f t="shared" si="1"/>
        <v>594.25</v>
      </c>
      <c r="J80" s="20">
        <f t="shared" si="2"/>
        <v>794</v>
      </c>
      <c r="K80" s="20">
        <f t="shared" si="3"/>
        <v>535.75</v>
      </c>
    </row>
    <row r="81" spans="3:11" x14ac:dyDescent="0.3">
      <c r="C81" s="137">
        <v>45523</v>
      </c>
      <c r="D81" s="20">
        <v>1058</v>
      </c>
      <c r="E81" s="20">
        <v>76</v>
      </c>
      <c r="F81" s="20">
        <v>1665</v>
      </c>
      <c r="G81" s="20">
        <v>190</v>
      </c>
      <c r="H81" s="20">
        <f t="shared" si="0"/>
        <v>469.25</v>
      </c>
      <c r="I81" s="20">
        <f t="shared" si="1"/>
        <v>573.5</v>
      </c>
      <c r="J81" s="20">
        <f t="shared" si="2"/>
        <v>881.25</v>
      </c>
      <c r="K81" s="20">
        <f t="shared" si="3"/>
        <v>504</v>
      </c>
    </row>
    <row r="82" spans="3:11" x14ac:dyDescent="0.3">
      <c r="C82" s="137">
        <v>45530</v>
      </c>
      <c r="D82" s="20">
        <v>37</v>
      </c>
      <c r="E82" s="20">
        <v>1609</v>
      </c>
      <c r="F82" s="20">
        <v>1229</v>
      </c>
      <c r="G82" s="20">
        <v>28</v>
      </c>
      <c r="H82" s="20">
        <f t="shared" si="0"/>
        <v>558</v>
      </c>
      <c r="I82" s="20">
        <f t="shared" si="1"/>
        <v>840.5</v>
      </c>
      <c r="J82" s="20">
        <f t="shared" si="2"/>
        <v>814.75</v>
      </c>
      <c r="K82" s="20">
        <f t="shared" si="3"/>
        <v>392.25</v>
      </c>
    </row>
    <row r="83" spans="3:11" x14ac:dyDescent="0.3">
      <c r="C83" s="137">
        <v>45537</v>
      </c>
      <c r="D83" s="20">
        <v>1045</v>
      </c>
      <c r="E83" s="20">
        <v>1247</v>
      </c>
      <c r="F83" s="20">
        <v>197</v>
      </c>
      <c r="G83" s="20">
        <v>333</v>
      </c>
      <c r="H83" s="20">
        <f t="shared" si="0"/>
        <v>868.5</v>
      </c>
      <c r="I83" s="20">
        <f t="shared" si="1"/>
        <v>1064.25</v>
      </c>
      <c r="J83" s="20">
        <f t="shared" si="2"/>
        <v>782</v>
      </c>
      <c r="K83" s="20">
        <f t="shared" si="3"/>
        <v>395.75</v>
      </c>
    </row>
    <row r="84" spans="3:11" x14ac:dyDescent="0.3">
      <c r="C84" s="137">
        <v>45544</v>
      </c>
      <c r="D84" s="20">
        <v>1428</v>
      </c>
      <c r="E84" s="20">
        <v>1572</v>
      </c>
      <c r="F84" s="20">
        <v>260</v>
      </c>
      <c r="G84" s="20">
        <v>1100</v>
      </c>
      <c r="H84" s="20">
        <f t="shared" si="0"/>
        <v>892</v>
      </c>
      <c r="I84" s="20">
        <f t="shared" si="1"/>
        <v>1126</v>
      </c>
      <c r="J84" s="20">
        <f t="shared" si="2"/>
        <v>837.75</v>
      </c>
      <c r="K84" s="20">
        <f t="shared" si="3"/>
        <v>412.75</v>
      </c>
    </row>
    <row r="85" spans="3:11" x14ac:dyDescent="0.3">
      <c r="C85" s="137">
        <v>45551</v>
      </c>
      <c r="D85" s="20">
        <v>98</v>
      </c>
      <c r="E85" s="20">
        <v>377</v>
      </c>
      <c r="F85" s="20">
        <v>1125</v>
      </c>
      <c r="G85" s="20">
        <v>-32</v>
      </c>
      <c r="H85" s="20">
        <f t="shared" si="0"/>
        <v>652</v>
      </c>
      <c r="I85" s="20">
        <f t="shared" si="1"/>
        <v>1201.25</v>
      </c>
      <c r="J85" s="20">
        <f t="shared" si="2"/>
        <v>702.75</v>
      </c>
      <c r="K85" s="20">
        <f t="shared" si="3"/>
        <v>357.25</v>
      </c>
    </row>
    <row r="86" spans="3:11" x14ac:dyDescent="0.3">
      <c r="C86" s="137">
        <v>45558</v>
      </c>
      <c r="D86" s="20">
        <v>-19</v>
      </c>
      <c r="E86" s="20">
        <v>666</v>
      </c>
      <c r="F86" s="20">
        <v>1680</v>
      </c>
      <c r="G86" s="20">
        <v>1006</v>
      </c>
      <c r="H86" s="20">
        <f t="shared" si="0"/>
        <v>638</v>
      </c>
      <c r="I86" s="20">
        <f t="shared" si="1"/>
        <v>965.5</v>
      </c>
      <c r="J86" s="20">
        <f t="shared" si="2"/>
        <v>815.5</v>
      </c>
      <c r="K86" s="20">
        <f t="shared" si="3"/>
        <v>601.75</v>
      </c>
    </row>
    <row r="87" spans="3:11" x14ac:dyDescent="0.3">
      <c r="C87" s="137">
        <v>45565</v>
      </c>
      <c r="D87" s="20">
        <v>-179</v>
      </c>
      <c r="E87" s="20">
        <v>1025</v>
      </c>
      <c r="F87" s="20">
        <v>599</v>
      </c>
      <c r="G87" s="20">
        <v>1706</v>
      </c>
      <c r="H87" s="20">
        <f t="shared" si="0"/>
        <v>332</v>
      </c>
      <c r="I87" s="20">
        <f t="shared" si="1"/>
        <v>910</v>
      </c>
      <c r="J87" s="20">
        <f t="shared" si="2"/>
        <v>916</v>
      </c>
      <c r="K87" s="20">
        <f t="shared" si="3"/>
        <v>945</v>
      </c>
    </row>
    <row r="88" spans="3:11" x14ac:dyDescent="0.3">
      <c r="C88" s="137">
        <v>45572</v>
      </c>
      <c r="D88" s="20">
        <v>1662</v>
      </c>
      <c r="E88" s="20">
        <v>1872</v>
      </c>
      <c r="F88" s="20">
        <v>107</v>
      </c>
      <c r="G88" s="20">
        <v>118</v>
      </c>
      <c r="H88" s="20">
        <f t="shared" si="0"/>
        <v>390.5</v>
      </c>
      <c r="I88" s="20">
        <f t="shared" si="1"/>
        <v>985</v>
      </c>
      <c r="J88" s="20">
        <f t="shared" si="2"/>
        <v>877.75</v>
      </c>
      <c r="K88" s="20">
        <f t="shared" si="3"/>
        <v>699.5</v>
      </c>
    </row>
    <row r="89" spans="3:11" x14ac:dyDescent="0.3">
      <c r="C89" s="137">
        <v>45579</v>
      </c>
      <c r="D89" s="20">
        <v>285</v>
      </c>
      <c r="E89" s="20">
        <v>1224</v>
      </c>
      <c r="F89" s="20">
        <v>-20</v>
      </c>
      <c r="G89" s="20">
        <v>367</v>
      </c>
      <c r="H89" s="20">
        <f t="shared" si="0"/>
        <v>437.25</v>
      </c>
      <c r="I89" s="20">
        <f t="shared" si="1"/>
        <v>1196.75</v>
      </c>
      <c r="J89" s="20">
        <f t="shared" si="2"/>
        <v>591.5</v>
      </c>
      <c r="K89" s="20">
        <f t="shared" si="3"/>
        <v>799.25</v>
      </c>
    </row>
    <row r="90" spans="3:11" x14ac:dyDescent="0.3">
      <c r="C90" s="137">
        <v>45586</v>
      </c>
      <c r="D90" s="20">
        <v>439</v>
      </c>
      <c r="E90" s="20">
        <v>262</v>
      </c>
      <c r="F90" s="20">
        <v>636</v>
      </c>
      <c r="G90" s="20">
        <v>1484</v>
      </c>
      <c r="H90" s="20">
        <f t="shared" si="0"/>
        <v>551.75</v>
      </c>
      <c r="I90" s="20">
        <f t="shared" si="1"/>
        <v>1095.75</v>
      </c>
      <c r="J90" s="20">
        <f t="shared" si="2"/>
        <v>330.5</v>
      </c>
      <c r="K90" s="20">
        <f t="shared" si="3"/>
        <v>918.75</v>
      </c>
    </row>
    <row r="91" spans="3:11" x14ac:dyDescent="0.3">
      <c r="C91" s="137">
        <v>45593</v>
      </c>
      <c r="D91" s="20">
        <v>386</v>
      </c>
      <c r="E91" s="20">
        <v>576</v>
      </c>
      <c r="F91" s="20">
        <v>37</v>
      </c>
      <c r="G91" s="20">
        <v>1657</v>
      </c>
      <c r="H91" s="20">
        <f t="shared" si="0"/>
        <v>693</v>
      </c>
      <c r="I91" s="20">
        <f t="shared" si="1"/>
        <v>983.5</v>
      </c>
      <c r="J91" s="20">
        <f t="shared" si="2"/>
        <v>190</v>
      </c>
      <c r="K91" s="20">
        <f t="shared" si="3"/>
        <v>906.5</v>
      </c>
    </row>
    <row r="92" spans="3:11" x14ac:dyDescent="0.3">
      <c r="C92" s="137">
        <v>45600</v>
      </c>
      <c r="D92" s="20">
        <v>540</v>
      </c>
      <c r="E92" s="20">
        <v>1397</v>
      </c>
      <c r="F92" s="20">
        <v>1603</v>
      </c>
      <c r="G92" s="20">
        <v>1044</v>
      </c>
      <c r="H92" s="20">
        <f t="shared" si="0"/>
        <v>412.5</v>
      </c>
      <c r="I92" s="20">
        <f t="shared" si="1"/>
        <v>864.75</v>
      </c>
      <c r="J92" s="20">
        <f t="shared" si="2"/>
        <v>564</v>
      </c>
      <c r="K92" s="20">
        <f t="shared" si="3"/>
        <v>1138</v>
      </c>
    </row>
    <row r="93" spans="3:11" x14ac:dyDescent="0.3">
      <c r="C93" s="137">
        <v>45607</v>
      </c>
      <c r="D93" s="20">
        <v>-106</v>
      </c>
      <c r="E93" s="20">
        <v>902</v>
      </c>
      <c r="F93" s="20">
        <v>1150</v>
      </c>
      <c r="G93" s="20">
        <v>349</v>
      </c>
      <c r="H93" s="20">
        <f t="shared" si="0"/>
        <v>314.75</v>
      </c>
      <c r="I93" s="20">
        <f t="shared" si="1"/>
        <v>784.25</v>
      </c>
      <c r="J93" s="20">
        <f t="shared" si="2"/>
        <v>856.5</v>
      </c>
      <c r="K93" s="20">
        <f t="shared" si="3"/>
        <v>1133.5</v>
      </c>
    </row>
    <row r="94" spans="3:11" x14ac:dyDescent="0.3">
      <c r="C94" s="137">
        <v>45614</v>
      </c>
      <c r="D94" s="20">
        <v>72</v>
      </c>
      <c r="E94" s="20">
        <v>-49</v>
      </c>
      <c r="F94" s="20">
        <v>445</v>
      </c>
      <c r="G94" s="20">
        <v>60</v>
      </c>
      <c r="H94" s="20">
        <f t="shared" si="0"/>
        <v>223</v>
      </c>
      <c r="I94" s="20">
        <f t="shared" si="1"/>
        <v>706.5</v>
      </c>
      <c r="J94" s="20">
        <f t="shared" si="2"/>
        <v>808.75</v>
      </c>
      <c r="K94" s="20">
        <f t="shared" si="3"/>
        <v>777.5</v>
      </c>
    </row>
    <row r="95" spans="3:11" x14ac:dyDescent="0.3">
      <c r="C95" s="137">
        <v>45621</v>
      </c>
      <c r="D95" s="20">
        <v>1332</v>
      </c>
      <c r="E95" s="20">
        <v>1693</v>
      </c>
      <c r="F95" s="20">
        <v>98</v>
      </c>
      <c r="G95" s="20">
        <v>885</v>
      </c>
      <c r="H95" s="20">
        <f t="shared" si="0"/>
        <v>459.5</v>
      </c>
      <c r="I95" s="20">
        <f t="shared" si="1"/>
        <v>985.75</v>
      </c>
      <c r="J95" s="20">
        <f t="shared" si="2"/>
        <v>824</v>
      </c>
      <c r="K95" s="20">
        <f t="shared" si="3"/>
        <v>584.5</v>
      </c>
    </row>
    <row r="96" spans="3:11" x14ac:dyDescent="0.3">
      <c r="C96" s="137">
        <v>45628</v>
      </c>
      <c r="D96" s="20">
        <v>1706</v>
      </c>
      <c r="E96" s="20">
        <v>1625</v>
      </c>
      <c r="F96" s="20">
        <v>1173</v>
      </c>
      <c r="G96" s="20">
        <v>291</v>
      </c>
      <c r="H96" s="20">
        <f t="shared" si="0"/>
        <v>751</v>
      </c>
      <c r="I96" s="20">
        <f t="shared" si="1"/>
        <v>1042.75</v>
      </c>
      <c r="J96" s="20">
        <f t="shared" si="2"/>
        <v>716.5</v>
      </c>
      <c r="K96" s="20">
        <f t="shared" si="3"/>
        <v>396.25</v>
      </c>
    </row>
    <row r="97" spans="3:11" x14ac:dyDescent="0.3">
      <c r="C97" s="137">
        <v>45635</v>
      </c>
      <c r="D97" s="20">
        <v>1373</v>
      </c>
      <c r="E97" s="20">
        <v>1119</v>
      </c>
      <c r="F97" s="20">
        <v>1727</v>
      </c>
      <c r="G97" s="20">
        <v>573</v>
      </c>
      <c r="H97" s="20">
        <f t="shared" si="0"/>
        <v>1120.75</v>
      </c>
      <c r="I97" s="20">
        <f t="shared" si="1"/>
        <v>1097</v>
      </c>
      <c r="J97" s="20">
        <f t="shared" si="2"/>
        <v>860.75</v>
      </c>
      <c r="K97" s="20">
        <f t="shared" si="3"/>
        <v>452.25</v>
      </c>
    </row>
    <row r="98" spans="3:11" x14ac:dyDescent="0.3">
      <c r="C98" s="137">
        <v>45642</v>
      </c>
      <c r="D98" s="20">
        <v>1377</v>
      </c>
      <c r="E98" s="20">
        <v>1432</v>
      </c>
      <c r="F98" s="20">
        <v>1359</v>
      </c>
      <c r="G98" s="20">
        <v>876</v>
      </c>
      <c r="H98" s="20">
        <f t="shared" si="0"/>
        <v>1447</v>
      </c>
      <c r="I98" s="20">
        <f t="shared" si="1"/>
        <v>1467.25</v>
      </c>
      <c r="J98" s="20">
        <f t="shared" si="2"/>
        <v>1089.25</v>
      </c>
      <c r="K98" s="20">
        <f t="shared" si="3"/>
        <v>656.25</v>
      </c>
    </row>
    <row r="99" spans="3:11" x14ac:dyDescent="0.3">
      <c r="C99" s="137">
        <v>45649</v>
      </c>
      <c r="D99" s="20">
        <v>730</v>
      </c>
      <c r="E99" s="20">
        <v>684</v>
      </c>
      <c r="F99" s="20">
        <v>911</v>
      </c>
      <c r="G99" s="20">
        <v>1589</v>
      </c>
      <c r="H99" s="20">
        <f t="shared" si="0"/>
        <v>1296.5</v>
      </c>
      <c r="I99" s="20">
        <f t="shared" si="1"/>
        <v>1215</v>
      </c>
      <c r="J99" s="20">
        <f t="shared" si="2"/>
        <v>1292.5</v>
      </c>
      <c r="K99" s="20">
        <f t="shared" si="3"/>
        <v>832.25</v>
      </c>
    </row>
    <row r="100" spans="3:11" x14ac:dyDescent="0.3">
      <c r="C100" s="137">
        <v>45656</v>
      </c>
      <c r="D100" s="20">
        <v>1776</v>
      </c>
      <c r="E100" s="20">
        <v>1765</v>
      </c>
      <c r="F100" s="20">
        <v>1529</v>
      </c>
      <c r="G100" s="20">
        <v>1460</v>
      </c>
      <c r="H100" s="20">
        <f t="shared" si="0"/>
        <v>1314</v>
      </c>
      <c r="I100" s="20">
        <f t="shared" si="1"/>
        <v>1250</v>
      </c>
      <c r="J100" s="20">
        <f t="shared" si="2"/>
        <v>1381.5</v>
      </c>
      <c r="K100" s="20">
        <f t="shared" si="3"/>
        <v>1124.5</v>
      </c>
    </row>
    <row r="101" spans="3:11" x14ac:dyDescent="0.3">
      <c r="C101" s="137">
        <v>45663</v>
      </c>
      <c r="D101" s="20">
        <v>620</v>
      </c>
      <c r="E101" s="20">
        <v>903</v>
      </c>
      <c r="F101" s="20">
        <v>1188</v>
      </c>
      <c r="G101" s="20">
        <v>846</v>
      </c>
      <c r="H101" s="20">
        <f t="shared" si="0"/>
        <v>1125.75</v>
      </c>
      <c r="I101" s="20">
        <f t="shared" si="1"/>
        <v>1196</v>
      </c>
      <c r="J101" s="20">
        <f t="shared" si="2"/>
        <v>1246.75</v>
      </c>
      <c r="K101" s="20">
        <f t="shared" si="3"/>
        <v>1192.75</v>
      </c>
    </row>
    <row r="102" spans="3:11" x14ac:dyDescent="0.3">
      <c r="C102" s="137">
        <v>45670</v>
      </c>
      <c r="D102" s="20">
        <v>298</v>
      </c>
      <c r="E102" s="20">
        <v>1722</v>
      </c>
      <c r="F102" s="20">
        <v>-144</v>
      </c>
      <c r="G102" s="20">
        <v>901</v>
      </c>
      <c r="H102" s="20">
        <f t="shared" si="0"/>
        <v>856</v>
      </c>
      <c r="I102" s="20">
        <f t="shared" si="1"/>
        <v>1268.5</v>
      </c>
      <c r="J102" s="20">
        <f t="shared" si="2"/>
        <v>871</v>
      </c>
      <c r="K102" s="20">
        <f t="shared" si="3"/>
        <v>1199</v>
      </c>
    </row>
    <row r="103" spans="3:11" x14ac:dyDescent="0.3">
      <c r="C103" s="137">
        <v>45677</v>
      </c>
      <c r="D103" s="20">
        <v>427</v>
      </c>
      <c r="E103" s="20">
        <v>1572</v>
      </c>
      <c r="F103" s="20">
        <v>891</v>
      </c>
      <c r="G103" s="20">
        <v>724</v>
      </c>
      <c r="H103" s="20">
        <f t="shared" si="0"/>
        <v>780.25</v>
      </c>
      <c r="I103" s="20">
        <f t="shared" si="1"/>
        <v>1490.5</v>
      </c>
      <c r="J103" s="20">
        <f t="shared" si="2"/>
        <v>866</v>
      </c>
      <c r="K103" s="20">
        <f t="shared" si="3"/>
        <v>982.75</v>
      </c>
    </row>
    <row r="104" spans="3:11" x14ac:dyDescent="0.3">
      <c r="C104" s="137">
        <v>45684</v>
      </c>
      <c r="D104" s="20">
        <v>898</v>
      </c>
      <c r="E104" s="20">
        <v>-166</v>
      </c>
      <c r="F104" s="20">
        <v>1426</v>
      </c>
      <c r="G104" s="20">
        <v>1225</v>
      </c>
      <c r="H104" s="20">
        <f t="shared" si="0"/>
        <v>560.75</v>
      </c>
      <c r="I104" s="20">
        <f t="shared" si="1"/>
        <v>1007.75</v>
      </c>
      <c r="J104" s="20">
        <f t="shared" si="2"/>
        <v>840.25</v>
      </c>
      <c r="K104" s="20">
        <f t="shared" si="3"/>
        <v>924</v>
      </c>
    </row>
    <row r="105" spans="3:11" x14ac:dyDescent="0.3">
      <c r="C105" s="137">
        <v>45691</v>
      </c>
      <c r="D105" s="20">
        <v>748</v>
      </c>
      <c r="E105" s="20">
        <v>1080</v>
      </c>
      <c r="F105" s="20">
        <v>569</v>
      </c>
      <c r="G105" s="20">
        <v>-203</v>
      </c>
      <c r="H105" s="20">
        <f t="shared" si="0"/>
        <v>592.75</v>
      </c>
      <c r="I105" s="20">
        <f t="shared" si="1"/>
        <v>1052</v>
      </c>
      <c r="J105" s="20">
        <f t="shared" si="2"/>
        <v>685.5</v>
      </c>
      <c r="K105" s="20">
        <f t="shared" si="3"/>
        <v>661.75</v>
      </c>
    </row>
    <row r="106" spans="3:11" x14ac:dyDescent="0.3">
      <c r="C106" s="137">
        <v>45698</v>
      </c>
      <c r="D106" s="20">
        <v>912</v>
      </c>
      <c r="E106" s="20">
        <v>1723</v>
      </c>
      <c r="F106" s="20">
        <v>1202</v>
      </c>
      <c r="G106" s="20">
        <v>1444</v>
      </c>
      <c r="H106" s="20">
        <f t="shared" si="0"/>
        <v>746.25</v>
      </c>
      <c r="I106" s="20">
        <f t="shared" si="1"/>
        <v>1052.25</v>
      </c>
      <c r="J106" s="20">
        <f t="shared" si="2"/>
        <v>1022</v>
      </c>
      <c r="K106" s="20">
        <f t="shared" si="3"/>
        <v>797.5</v>
      </c>
    </row>
    <row r="107" spans="3:11" x14ac:dyDescent="0.3">
      <c r="C107" s="137">
        <v>45705</v>
      </c>
      <c r="D107" s="20">
        <v>1590</v>
      </c>
      <c r="E107" s="20">
        <v>965</v>
      </c>
      <c r="F107" s="20">
        <v>-37</v>
      </c>
      <c r="G107" s="20">
        <v>1175</v>
      </c>
      <c r="H107" s="20">
        <f t="shared" si="0"/>
        <v>1037</v>
      </c>
      <c r="I107" s="20">
        <f t="shared" si="1"/>
        <v>900.5</v>
      </c>
      <c r="J107" s="20">
        <f t="shared" si="2"/>
        <v>790</v>
      </c>
      <c r="K107" s="20">
        <f t="shared" si="3"/>
        <v>910.25</v>
      </c>
    </row>
    <row r="108" spans="3:11" x14ac:dyDescent="0.3">
      <c r="C108" s="137">
        <v>45712</v>
      </c>
      <c r="D108" s="20">
        <v>1707</v>
      </c>
      <c r="E108" s="20">
        <v>1375</v>
      </c>
      <c r="F108" s="20">
        <v>708</v>
      </c>
      <c r="G108" s="20">
        <v>1016</v>
      </c>
      <c r="H108" s="20">
        <f t="shared" si="0"/>
        <v>1239.25</v>
      </c>
      <c r="I108" s="20">
        <f t="shared" si="1"/>
        <v>1285.75</v>
      </c>
      <c r="J108" s="20">
        <f t="shared" si="2"/>
        <v>610.5</v>
      </c>
      <c r="K108" s="20">
        <f t="shared" si="3"/>
        <v>858</v>
      </c>
    </row>
    <row r="109" spans="3:11" x14ac:dyDescent="0.3">
      <c r="C109" s="137">
        <v>45719</v>
      </c>
      <c r="D109" s="20">
        <v>-119</v>
      </c>
      <c r="E109" s="20">
        <v>1315</v>
      </c>
      <c r="F109" s="20">
        <v>899</v>
      </c>
      <c r="G109" s="20">
        <v>315</v>
      </c>
      <c r="H109" s="20">
        <f t="shared" si="0"/>
        <v>1022.5</v>
      </c>
      <c r="I109" s="20">
        <f t="shared" si="1"/>
        <v>1344.5</v>
      </c>
      <c r="J109" s="20">
        <f t="shared" si="2"/>
        <v>693</v>
      </c>
      <c r="K109" s="20">
        <f t="shared" si="3"/>
        <v>987.5</v>
      </c>
    </row>
    <row r="110" spans="3:11" x14ac:dyDescent="0.3">
      <c r="C110" s="137">
        <v>45726</v>
      </c>
      <c r="D110" s="20">
        <v>908</v>
      </c>
      <c r="E110" s="20">
        <v>212</v>
      </c>
      <c r="F110" s="20">
        <v>1350</v>
      </c>
      <c r="G110" s="20">
        <v>1242</v>
      </c>
      <c r="H110" s="20">
        <f t="shared" si="0"/>
        <v>1021.5</v>
      </c>
      <c r="I110" s="20">
        <f t="shared" si="1"/>
        <v>966.75</v>
      </c>
      <c r="J110" s="20">
        <f t="shared" si="2"/>
        <v>730</v>
      </c>
      <c r="K110" s="20">
        <f t="shared" si="3"/>
        <v>937</v>
      </c>
    </row>
    <row r="111" spans="3:11" x14ac:dyDescent="0.3">
      <c r="C111" s="137">
        <v>45733</v>
      </c>
      <c r="D111" s="20">
        <v>1116</v>
      </c>
      <c r="E111" s="20">
        <v>680</v>
      </c>
      <c r="F111" s="20">
        <v>861</v>
      </c>
      <c r="G111" s="20">
        <v>1385</v>
      </c>
      <c r="H111" s="20">
        <f t="shared" si="0"/>
        <v>903</v>
      </c>
      <c r="I111" s="20">
        <f t="shared" si="1"/>
        <v>895.5</v>
      </c>
      <c r="J111" s="20">
        <f t="shared" si="2"/>
        <v>954.5</v>
      </c>
      <c r="K111" s="20">
        <f t="shared" si="3"/>
        <v>989.5</v>
      </c>
    </row>
    <row r="112" spans="3:11" x14ac:dyDescent="0.3">
      <c r="C112" s="137">
        <v>45740</v>
      </c>
      <c r="D112" s="20">
        <v>474</v>
      </c>
      <c r="E112" s="20">
        <v>461</v>
      </c>
      <c r="F112" s="20">
        <v>292</v>
      </c>
      <c r="G112" s="20">
        <v>389</v>
      </c>
      <c r="H112" s="20">
        <f t="shared" si="0"/>
        <v>594.75</v>
      </c>
      <c r="I112" s="20">
        <f t="shared" si="1"/>
        <v>667</v>
      </c>
      <c r="J112" s="20">
        <f t="shared" si="2"/>
        <v>850.5</v>
      </c>
      <c r="K112" s="20">
        <f t="shared" si="3"/>
        <v>832.75</v>
      </c>
    </row>
    <row r="113" spans="1:11" x14ac:dyDescent="0.3">
      <c r="C113" s="137">
        <v>45747</v>
      </c>
      <c r="D113" s="20">
        <v>514</v>
      </c>
      <c r="E113" s="20">
        <v>641</v>
      </c>
      <c r="F113" s="20">
        <v>1676</v>
      </c>
      <c r="G113" s="20">
        <v>1467</v>
      </c>
      <c r="H113" s="20">
        <f t="shared" si="0"/>
        <v>753</v>
      </c>
      <c r="I113" s="20">
        <f t="shared" si="1"/>
        <v>498.5</v>
      </c>
      <c r="J113" s="20">
        <f t="shared" si="2"/>
        <v>1044.75</v>
      </c>
      <c r="K113" s="20">
        <f t="shared" si="3"/>
        <v>1120.75</v>
      </c>
    </row>
    <row r="114" spans="1:11" x14ac:dyDescent="0.3">
      <c r="C114" s="137">
        <v>45754</v>
      </c>
      <c r="D114" s="20">
        <v>1029</v>
      </c>
      <c r="E114" s="20">
        <v>167</v>
      </c>
      <c r="F114" s="20">
        <v>1007</v>
      </c>
      <c r="G114" s="20">
        <v>209</v>
      </c>
      <c r="H114" s="20">
        <f t="shared" si="0"/>
        <v>783.25</v>
      </c>
      <c r="I114" s="20">
        <f t="shared" si="1"/>
        <v>487.25</v>
      </c>
      <c r="J114" s="20">
        <f t="shared" si="2"/>
        <v>959</v>
      </c>
      <c r="K114" s="20">
        <f t="shared" si="3"/>
        <v>862.5</v>
      </c>
    </row>
    <row r="115" spans="1:11" x14ac:dyDescent="0.3">
      <c r="C115" s="137">
        <v>45761</v>
      </c>
      <c r="D115" s="20">
        <v>-175</v>
      </c>
      <c r="E115" s="20">
        <v>-160</v>
      </c>
      <c r="F115" s="20">
        <v>53</v>
      </c>
      <c r="G115" s="20">
        <v>145</v>
      </c>
      <c r="H115" s="20">
        <f t="shared" si="0"/>
        <v>460.5</v>
      </c>
      <c r="I115" s="20">
        <f t="shared" si="1"/>
        <v>277.25</v>
      </c>
      <c r="J115" s="20">
        <f t="shared" si="2"/>
        <v>757</v>
      </c>
      <c r="K115" s="20">
        <f t="shared" si="3"/>
        <v>552.5</v>
      </c>
    </row>
    <row r="116" spans="1:11" x14ac:dyDescent="0.3">
      <c r="C116" s="137">
        <v>45768</v>
      </c>
      <c r="D116" s="20">
        <v>1045</v>
      </c>
      <c r="E116" s="20">
        <v>603</v>
      </c>
      <c r="F116" s="20">
        <v>759</v>
      </c>
      <c r="G116" s="20">
        <v>1633</v>
      </c>
      <c r="H116" s="20">
        <f t="shared" si="0"/>
        <v>603.25</v>
      </c>
      <c r="I116" s="20">
        <f t="shared" si="1"/>
        <v>312.75</v>
      </c>
      <c r="J116" s="20">
        <f t="shared" si="2"/>
        <v>873.75</v>
      </c>
      <c r="K116" s="20">
        <f t="shared" si="3"/>
        <v>863.5</v>
      </c>
    </row>
    <row r="117" spans="1:11" x14ac:dyDescent="0.3">
      <c r="C117" s="137">
        <v>45775</v>
      </c>
      <c r="D117" s="20">
        <v>453</v>
      </c>
      <c r="E117" s="20">
        <v>1539</v>
      </c>
      <c r="F117" s="20">
        <v>948</v>
      </c>
      <c r="G117" s="20">
        <v>637</v>
      </c>
      <c r="H117" s="20">
        <f t="shared" si="0"/>
        <v>588</v>
      </c>
      <c r="I117" s="20">
        <f t="shared" si="1"/>
        <v>537.25</v>
      </c>
      <c r="J117" s="20">
        <f t="shared" si="2"/>
        <v>691.75</v>
      </c>
      <c r="K117" s="20">
        <f t="shared" si="3"/>
        <v>656</v>
      </c>
    </row>
    <row r="118" spans="1:11" x14ac:dyDescent="0.3">
      <c r="C118" s="137">
        <v>45782</v>
      </c>
      <c r="D118" s="20">
        <v>339</v>
      </c>
      <c r="E118" s="20">
        <v>1881</v>
      </c>
      <c r="F118" s="20">
        <v>1510</v>
      </c>
      <c r="G118" s="20">
        <v>864</v>
      </c>
      <c r="H118" s="20">
        <f t="shared" si="0"/>
        <v>415.5</v>
      </c>
      <c r="I118" s="20">
        <f t="shared" si="1"/>
        <v>965.75</v>
      </c>
      <c r="J118" s="20">
        <f t="shared" si="2"/>
        <v>817.5</v>
      </c>
      <c r="K118" s="20">
        <f t="shared" si="3"/>
        <v>819.75</v>
      </c>
    </row>
    <row r="119" spans="1:11" x14ac:dyDescent="0.3">
      <c r="C119" s="137">
        <v>45789</v>
      </c>
      <c r="D119" s="20">
        <v>407</v>
      </c>
      <c r="E119" s="20">
        <v>1656</v>
      </c>
      <c r="F119" s="20">
        <v>269</v>
      </c>
      <c r="G119" s="20">
        <v>-337</v>
      </c>
      <c r="H119" s="20">
        <f t="shared" si="0"/>
        <v>561</v>
      </c>
      <c r="I119" s="20">
        <f t="shared" si="1"/>
        <v>1419.75</v>
      </c>
      <c r="J119" s="20">
        <f t="shared" si="2"/>
        <v>871.5</v>
      </c>
      <c r="K119" s="20">
        <f t="shared" si="3"/>
        <v>699.25</v>
      </c>
    </row>
    <row r="122" spans="1:11" ht="28.8" x14ac:dyDescent="0.3">
      <c r="A122" s="143" t="s">
        <v>484</v>
      </c>
    </row>
    <row r="140" spans="3:11" ht="15" thickBot="1" x14ac:dyDescent="0.35"/>
    <row r="141" spans="3:11" ht="15" thickBot="1" x14ac:dyDescent="0.35">
      <c r="C141" s="147">
        <f>CORREL('Engagement Summary'!G2:G201,'Engagement Summary'!H2:H201)</f>
        <v>8.5932221904422137E-2</v>
      </c>
      <c r="D141" s="144" t="s">
        <v>491</v>
      </c>
      <c r="E141" s="145"/>
      <c r="F141" s="145"/>
      <c r="G141" s="145"/>
      <c r="H141" s="145"/>
      <c r="I141" s="145"/>
      <c r="J141" s="145"/>
      <c r="K141" s="146"/>
    </row>
    <row r="143" spans="3:11" x14ac:dyDescent="0.3">
      <c r="C143" s="32" t="s">
        <v>402</v>
      </c>
      <c r="D143" s="148" t="s">
        <v>492</v>
      </c>
    </row>
  </sheetData>
  <mergeCells count="1">
    <mergeCell ref="B1:H1"/>
  </mergeCells>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9870A1-941C-4402-91CF-E9DDCE0F8A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Posts</vt:lpstr>
      <vt:lpstr>Table 2</vt:lpstr>
      <vt:lpstr>Posts_Table</vt:lpstr>
      <vt:lpstr>Engagement Summary</vt:lpstr>
      <vt:lpstr>Campaign Metadata</vt:lpstr>
      <vt:lpstr>Table1</vt:lpstr>
      <vt:lpstr>Task 1</vt:lpstr>
      <vt:lpstr>Task 2</vt:lpstr>
      <vt:lpstr>Task 3</vt:lpstr>
      <vt:lpstr>Task 4</vt:lpstr>
      <vt:lpstr>Task 5</vt:lpstr>
      <vt:lpstr>Task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Gupta</cp:lastModifiedBy>
  <dcterms:created xsi:type="dcterms:W3CDTF">2025-05-26T02:16:03Z</dcterms:created>
  <dcterms:modified xsi:type="dcterms:W3CDTF">2026-10-25T11:35:31Z</dcterms:modified>
</cp:coreProperties>
</file>